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8b18157151b13f5a/"/>
    </mc:Choice>
  </mc:AlternateContent>
  <xr:revisionPtr revIDLastSave="2" documentId="8_{5EE820F8-18D0-0A4D-ADE3-1F69E72B56BD}" xr6:coauthVersionLast="47" xr6:coauthVersionMax="47" xr10:uidLastSave="{A6334E71-F8A0-4922-9C00-E713FF6E17C6}"/>
  <bookViews>
    <workbookView xWindow="-47760" yWindow="1785" windowWidth="43275" windowHeight="18405" xr2:uid="{00000000-000D-0000-FFFF-FFFF00000000}"/>
  </bookViews>
  <sheets>
    <sheet name="Plan Financier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1" l="1"/>
  <c r="R5" i="1"/>
  <c r="R6" i="1"/>
  <c r="R7" i="1"/>
  <c r="D11" i="1"/>
  <c r="D10" i="1"/>
  <c r="D9" i="1"/>
  <c r="D8" i="1"/>
  <c r="D7" i="1"/>
  <c r="Q11" i="1"/>
  <c r="Q10" i="1"/>
  <c r="Q9" i="1"/>
  <c r="Q8" i="1"/>
  <c r="Q7" i="1"/>
  <c r="Q6" i="1"/>
  <c r="J62" i="1"/>
  <c r="I11" i="1" s="1"/>
  <c r="F101" i="1" s="1"/>
  <c r="K101" i="1" s="1"/>
  <c r="D44" i="1"/>
  <c r="D6" i="1"/>
  <c r="L94" i="1"/>
  <c r="F94" i="1"/>
  <c r="K94" i="1"/>
  <c r="C5" i="1"/>
  <c r="C6" i="1"/>
  <c r="C7" i="1"/>
  <c r="C8" i="1"/>
  <c r="C9" i="1"/>
  <c r="C10" i="1"/>
  <c r="C11" i="1"/>
  <c r="E95" i="1"/>
  <c r="J95" i="1"/>
  <c r="E96" i="1"/>
  <c r="J96" i="1"/>
  <c r="E97" i="1"/>
  <c r="J97" i="1"/>
  <c r="E98" i="1"/>
  <c r="J98" i="1"/>
  <c r="E99" i="1"/>
  <c r="J99" i="1"/>
  <c r="E100" i="1"/>
  <c r="J100" i="1"/>
  <c r="E101" i="1"/>
  <c r="J101" i="1"/>
  <c r="E94" i="1"/>
  <c r="J94" i="1"/>
  <c r="D100" i="1"/>
  <c r="I100" i="1" s="1"/>
  <c r="D94" i="1"/>
  <c r="I94" i="1"/>
  <c r="H94" i="1"/>
  <c r="G95" i="1"/>
  <c r="L95" i="1" s="1"/>
  <c r="C98" i="1"/>
  <c r="C100" i="1"/>
  <c r="C101" i="1"/>
  <c r="C94" i="1"/>
  <c r="J44" i="1"/>
  <c r="D98" i="1" s="1"/>
  <c r="I98" i="1" s="1"/>
  <c r="P6" i="1"/>
  <c r="P7" i="1" s="1"/>
  <c r="P8" i="1" s="1"/>
  <c r="P9" i="1" s="1"/>
  <c r="P10" i="1" s="1"/>
  <c r="P11" i="1" s="1"/>
  <c r="F6" i="1"/>
  <c r="N5" i="1"/>
  <c r="O6" i="1"/>
  <c r="O7" i="1"/>
  <c r="O8" i="1"/>
  <c r="O9" i="1"/>
  <c r="O10" i="1"/>
  <c r="O11" i="1"/>
  <c r="D5" i="1"/>
  <c r="J26" i="1"/>
  <c r="E6" i="1" s="1"/>
  <c r="E26" i="1"/>
  <c r="D62" i="1"/>
  <c r="E10" i="1"/>
  <c r="H100" i="1" s="1"/>
  <c r="E8" i="1"/>
  <c r="H98" i="1" s="1"/>
  <c r="E11" i="1"/>
  <c r="E7" i="1"/>
  <c r="E9" i="1"/>
  <c r="C99" i="1" s="1"/>
  <c r="J4" i="1"/>
  <c r="K4" i="1" s="1"/>
  <c r="K5" i="1"/>
  <c r="G11" i="1"/>
  <c r="D101" i="1" s="1"/>
  <c r="I101" i="1" s="1"/>
  <c r="I10" i="1" l="1"/>
  <c r="I9" i="1"/>
  <c r="F99" i="1" s="1"/>
  <c r="K99" i="1" s="1"/>
  <c r="I8" i="1"/>
  <c r="F98" i="1" s="1"/>
  <c r="K98" i="1" s="1"/>
  <c r="I7" i="1"/>
  <c r="F97" i="1" s="1"/>
  <c r="K97" i="1" s="1"/>
  <c r="I5" i="1"/>
  <c r="F95" i="1" s="1"/>
  <c r="K95" i="1" s="1"/>
  <c r="H96" i="1"/>
  <c r="C96" i="1"/>
  <c r="J11" i="1"/>
  <c r="N11" i="1" s="1"/>
  <c r="G101" i="1" s="1"/>
  <c r="L101" i="1" s="1"/>
  <c r="G9" i="1"/>
  <c r="H97" i="1"/>
  <c r="H99" i="1"/>
  <c r="J8" i="1"/>
  <c r="N8" i="1" s="1"/>
  <c r="G98" i="1" s="1"/>
  <c r="L98" i="1" s="1"/>
  <c r="E5" i="1"/>
  <c r="H101" i="1"/>
  <c r="G5" i="1"/>
  <c r="D95" i="1" s="1"/>
  <c r="I95" i="1" s="1"/>
  <c r="I6" i="1"/>
  <c r="F96" i="1" s="1"/>
  <c r="K96" i="1" s="1"/>
  <c r="G6" i="1"/>
  <c r="D96" i="1" s="1"/>
  <c r="I96" i="1" s="1"/>
  <c r="C97" i="1"/>
  <c r="G7" i="1"/>
  <c r="D97" i="1" s="1"/>
  <c r="I97" i="1" s="1"/>
  <c r="F100" i="1" l="1"/>
  <c r="K100" i="1" s="1"/>
  <c r="J10" i="1"/>
  <c r="J9" i="1"/>
  <c r="D99" i="1"/>
  <c r="I99" i="1" s="1"/>
  <c r="J7" i="1"/>
  <c r="K11" i="1"/>
  <c r="H95" i="1"/>
  <c r="C95" i="1"/>
  <c r="K8" i="1"/>
  <c r="J6" i="1"/>
  <c r="N10" i="1" l="1"/>
  <c r="G100" i="1" s="1"/>
  <c r="L100" i="1" s="1"/>
  <c r="K10" i="1"/>
  <c r="N6" i="1"/>
  <c r="G96" i="1" s="1"/>
  <c r="L96" i="1" s="1"/>
  <c r="M6" i="1"/>
  <c r="L6" i="1" s="1"/>
  <c r="M7" i="1" s="1"/>
  <c r="L7" i="1" s="1"/>
  <c r="M8" i="1" s="1"/>
  <c r="L8" i="1" s="1"/>
  <c r="K6" i="1"/>
  <c r="N7" i="1"/>
  <c r="G97" i="1" s="1"/>
  <c r="L97" i="1" s="1"/>
  <c r="K7" i="1"/>
  <c r="N9" i="1"/>
  <c r="G99" i="1" s="1"/>
  <c r="L99" i="1" s="1"/>
  <c r="K9" i="1"/>
  <c r="M9" i="1" l="1"/>
  <c r="L9" i="1" s="1"/>
  <c r="R8" i="1"/>
  <c r="M10" i="1"/>
  <c r="R9" i="1"/>
  <c r="L10" i="1" l="1"/>
  <c r="M11" i="1" l="1"/>
  <c r="R10" i="1"/>
  <c r="L11" i="1" l="1"/>
  <c r="R11" i="1" s="1"/>
  <c r="E20" i="1" a="1"/>
  <c r="E20" i="1" s="1"/>
  <c r="E18" i="1" a="1"/>
  <c r="E18" i="1" s="1"/>
  <c r="E25" i="1" a="1"/>
  <c r="E25" i="1" s="1"/>
  <c r="E21" i="1" a="1"/>
  <c r="E21" i="1" s="1"/>
  <c r="E24" i="1" a="1"/>
  <c r="E24" i="1" s="1"/>
  <c r="E16" i="1" a="1"/>
  <c r="E16" i="1" s="1"/>
  <c r="E23" i="1" a="1"/>
  <c r="E23" i="1" s="1"/>
  <c r="E22" i="1" a="1"/>
  <c r="E22" i="1" s="1"/>
  <c r="E17" i="1" a="1"/>
  <c r="E17" i="1" s="1"/>
  <c r="E19" i="1" a="1"/>
  <c r="E1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<sst xmlns="http://schemas.openxmlformats.org/spreadsheetml/2006/main" count="135" uniqueCount="79">
  <si>
    <t>Resumen General</t>
  </si>
  <si>
    <t>Mes</t>
  </si>
  <si>
    <t>Ingreso (€)</t>
  </si>
  <si>
    <t>Suscripciones</t>
  </si>
  <si>
    <t>Comidas</t>
  </si>
  <si>
    <t>Caprichos</t>
  </si>
  <si>
    <t>Planes</t>
  </si>
  <si>
    <t>Regalos</t>
  </si>
  <si>
    <t>Otros</t>
  </si>
  <si>
    <t>Gasto Total (€)</t>
  </si>
  <si>
    <t>Ahorro (€)</t>
  </si>
  <si>
    <t>Colchón Acumulado</t>
  </si>
  <si>
    <t>Dinero antes de cobro</t>
  </si>
  <si>
    <t>Gasto por semana</t>
  </si>
  <si>
    <t>Dinero para viajes</t>
  </si>
  <si>
    <t>Dinero Cartera Flexible</t>
  </si>
  <si>
    <t>September 2025</t>
  </si>
  <si>
    <t>x</t>
  </si>
  <si>
    <t>October 2025</t>
  </si>
  <si>
    <t>November 2025</t>
  </si>
  <si>
    <t>December 2025</t>
  </si>
  <si>
    <t>January 2026</t>
  </si>
  <si>
    <t>February 2026</t>
  </si>
  <si>
    <t>March 2026</t>
  </si>
  <si>
    <t>April 2026</t>
  </si>
  <si>
    <t>*ingreso aprox</t>
  </si>
  <si>
    <t>*solo cuenta gastos de la tabla, no extras</t>
  </si>
  <si>
    <t>*no se valoran inversiones</t>
  </si>
  <si>
    <t>*esto es despues de cobrar, octubre representa lo cobrado el 5 de noviembre</t>
  </si>
  <si>
    <t>Caprichos (Planificación Inteligente)</t>
  </si>
  <si>
    <t>Capricho</t>
  </si>
  <si>
    <t>Precio (€)</t>
  </si>
  <si>
    <t>Prioridad</t>
  </si>
  <si>
    <t>Fecha Posible Para Comprar</t>
  </si>
  <si>
    <t>Fecha</t>
  </si>
  <si>
    <t>Concepto</t>
  </si>
  <si>
    <t>Monto (€)</t>
  </si>
  <si>
    <t>Secret Lab Reposa pies</t>
  </si>
  <si>
    <t>Alta</t>
  </si>
  <si>
    <t>X</t>
  </si>
  <si>
    <t>Comidas empresa</t>
  </si>
  <si>
    <t>Ipad</t>
  </si>
  <si>
    <t>Baja</t>
  </si>
  <si>
    <t>Comidas laura/gente</t>
  </si>
  <si>
    <t>Iphone</t>
  </si>
  <si>
    <t>baja</t>
  </si>
  <si>
    <t>Airpods</t>
  </si>
  <si>
    <t>Media</t>
  </si>
  <si>
    <t>Macbook Air</t>
  </si>
  <si>
    <t>Watch</t>
  </si>
  <si>
    <t>Funda silla Secret labs</t>
  </si>
  <si>
    <t>Videojuego</t>
  </si>
  <si>
    <t>media</t>
  </si>
  <si>
    <t>Gta 6</t>
  </si>
  <si>
    <t>alta</t>
  </si>
  <si>
    <t>Ropa</t>
  </si>
  <si>
    <t>Total:</t>
  </si>
  <si>
    <t>Servicio</t>
  </si>
  <si>
    <t>Día de cobro</t>
  </si>
  <si>
    <t>Google ONE</t>
  </si>
  <si>
    <t>Fiestas</t>
  </si>
  <si>
    <t>Github Copilot</t>
  </si>
  <si>
    <t>Microsoft</t>
  </si>
  <si>
    <t>Bono Bus</t>
  </si>
  <si>
    <t xml:space="preserve">iCloud </t>
  </si>
  <si>
    <t>Navidades</t>
  </si>
  <si>
    <t>Ejemplo Otros</t>
  </si>
  <si>
    <t>Cartera Flexible</t>
  </si>
  <si>
    <t>Cantidad de dinero inicial:</t>
  </si>
  <si>
    <t>Sueldo despues de impuestos:</t>
  </si>
  <si>
    <t>*ajustar despues del primer cobro, no se tiene en cuenta luego cuanto te devuelven</t>
  </si>
  <si>
    <t>Gasto aceptable</t>
  </si>
  <si>
    <t>Gasto medio</t>
  </si>
  <si>
    <t>Gasto alto</t>
  </si>
  <si>
    <t>Asignacion de dinero semanlmente</t>
  </si>
  <si>
    <t>Presupuesto semanal</t>
  </si>
  <si>
    <t>Gasto Real</t>
  </si>
  <si>
    <t>Inversiones</t>
  </si>
  <si>
    <t>Activos 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</si>
</sst>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b/>
      <sz val="11"/>
      <color rgb="FFFFFFFF"/>
      <name val="Calibri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FFFF"/>
      <name val="Calibri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2" fillId="2" borderId="5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1" xfId="0" applyBorder="1" applyAlignment="1">
      <alignment wrapText="1"/>
    </xf>
    <xf numFmtId="0" fontId="1" fillId="0" borderId="5" xfId="0" applyFont="1" applyBorder="1" applyAlignment="1">
      <alignment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0" fillId="0" borderId="10" xfId="0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12" xfId="0" applyFill="1" applyBorder="1" applyAlignment="1">
      <alignment wrapText="1"/>
    </xf>
    <xf numFmtId="0" fontId="5" fillId="0" borderId="5" xfId="0" applyFont="1" applyBorder="1" applyAlignment="1">
      <alignment wrapText="1"/>
    </xf>
    <xf numFmtId="0" fontId="6" fillId="4" borderId="11" xfId="0" applyFont="1" applyFill="1" applyBorder="1" applyAlignment="1">
      <alignment wrapText="1"/>
    </xf>
    <xf numFmtId="0" fontId="6" fillId="4" borderId="12" xfId="0" applyFont="1" applyFill="1" applyBorder="1" applyAlignment="1">
      <alignment wrapText="1"/>
    </xf>
    <xf numFmtId="0" fontId="0" fillId="6" borderId="11" xfId="0" applyFill="1" applyBorder="1" applyAlignment="1">
      <alignment wrapText="1"/>
    </xf>
    <xf numFmtId="0" fontId="0" fillId="6" borderId="12" xfId="0" applyFill="1" applyBorder="1" applyAlignment="1">
      <alignment wrapText="1"/>
    </xf>
    <xf numFmtId="0" fontId="0" fillId="6" borderId="10" xfId="0" applyFill="1" applyBorder="1" applyAlignment="1">
      <alignment wrapText="1"/>
    </xf>
    <xf numFmtId="0" fontId="0" fillId="6" borderId="2" xfId="0" applyFill="1" applyBorder="1" applyAlignment="1">
      <alignment wrapText="1"/>
    </xf>
    <xf numFmtId="0" fontId="0" fillId="5" borderId="3" xfId="0" applyFill="1" applyBorder="1" applyAlignment="1">
      <alignment wrapText="1"/>
    </xf>
    <xf numFmtId="0" fontId="0" fillId="4" borderId="4" xfId="0" applyFill="1" applyBorder="1" applyAlignment="1">
      <alignment wrapText="1"/>
    </xf>
    <xf numFmtId="0" fontId="4" fillId="0" borderId="0" xfId="0" applyFont="1" applyAlignment="1">
      <alignment wrapText="1"/>
    </xf>
    <xf numFmtId="0" fontId="7" fillId="0" borderId="7" xfId="0" applyFont="1" applyBorder="1" applyAlignment="1">
      <alignment wrapText="1"/>
    </xf>
    <xf numFmtId="0" fontId="7" fillId="0" borderId="8" xfId="0" applyFont="1" applyBorder="1" applyAlignment="1">
      <alignment wrapText="1"/>
    </xf>
    <xf numFmtId="0" fontId="7" fillId="0" borderId="9" xfId="0" applyFont="1" applyBorder="1" applyAlignment="1">
      <alignment wrapText="1"/>
    </xf>
    <xf numFmtId="0" fontId="0" fillId="9" borderId="5" xfId="0" applyFill="1" applyBorder="1" applyAlignment="1">
      <alignment wrapText="1"/>
    </xf>
    <xf numFmtId="0" fontId="0" fillId="9" borderId="0" xfId="0" applyFill="1" applyAlignment="1">
      <alignment wrapText="1"/>
    </xf>
    <xf numFmtId="0" fontId="0" fillId="9" borderId="6" xfId="0" applyFill="1" applyBorder="1" applyAlignment="1">
      <alignment wrapText="1"/>
    </xf>
    <xf numFmtId="0" fontId="0" fillId="7" borderId="0" xfId="0" applyFill="1" applyAlignment="1">
      <alignment horizontal="right"/>
    </xf>
    <xf numFmtId="0" fontId="0" fillId="7" borderId="0" xfId="0" applyFill="1" applyAlignment="1">
      <alignment horizontal="right" wrapText="1"/>
    </xf>
    <xf numFmtId="0" fontId="0" fillId="0" borderId="0" xfId="0" applyAlignment="1">
      <alignment horizontal="right" wrapText="1"/>
    </xf>
    <xf numFmtId="0" fontId="0" fillId="0" borderId="0" xfId="0" applyAlignment="1">
      <alignment horizontal="right"/>
    </xf>
    <xf numFmtId="0" fontId="0" fillId="0" borderId="14" xfId="0" applyBorder="1" applyAlignment="1">
      <alignment horizontal="right" wrapText="1"/>
    </xf>
    <xf numFmtId="0" fontId="0" fillId="0" borderId="14" xfId="0" applyBorder="1" applyAlignment="1">
      <alignment horizontal="right"/>
    </xf>
    <xf numFmtId="0" fontId="2" fillId="0" borderId="0" xfId="0" applyFont="1" applyAlignment="1">
      <alignment horizontal="center" wrapText="1"/>
    </xf>
    <xf numFmtId="0" fontId="0" fillId="7" borderId="15" xfId="0" applyFill="1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7" xfId="0" applyBorder="1"/>
    <xf numFmtId="0" fontId="0" fillId="0" borderId="18" xfId="0" applyBorder="1"/>
    <xf numFmtId="0" fontId="2" fillId="10" borderId="19" xfId="0" applyFont="1" applyFill="1" applyBorder="1" applyAlignment="1">
      <alignment horizontal="center" wrapText="1"/>
    </xf>
    <xf numFmtId="0" fontId="2" fillId="10" borderId="20" xfId="0" applyFont="1" applyFill="1" applyBorder="1" applyAlignment="1">
      <alignment horizontal="center" wrapText="1"/>
    </xf>
    <xf numFmtId="0" fontId="2" fillId="10" borderId="21" xfId="0" applyFont="1" applyFill="1" applyBorder="1" applyAlignment="1">
      <alignment horizontal="center" wrapText="1"/>
    </xf>
    <xf numFmtId="0" fontId="2" fillId="2" borderId="22" xfId="0" applyFont="1" applyFill="1" applyBorder="1" applyAlignment="1">
      <alignment horizontal="center" wrapText="1"/>
    </xf>
    <xf numFmtId="0" fontId="8" fillId="8" borderId="22" xfId="0" applyFont="1" applyFill="1" applyBorder="1" applyAlignment="1">
      <alignment horizontal="center" wrapText="1"/>
    </xf>
    <xf numFmtId="0" fontId="0" fillId="7" borderId="17" xfId="0" applyFill="1" applyBorder="1"/>
    <xf numFmtId="0" fontId="2" fillId="10" borderId="23" xfId="0" applyFont="1" applyFill="1" applyBorder="1" applyAlignment="1">
      <alignment horizontal="center" wrapText="1"/>
    </xf>
    <xf numFmtId="0" fontId="0" fillId="0" borderId="24" xfId="0" applyBorder="1" applyAlignment="1">
      <alignment wrapText="1"/>
    </xf>
    <xf numFmtId="0" fontId="0" fillId="7" borderId="24" xfId="0" applyFill="1" applyBorder="1" applyAlignment="1">
      <alignment wrapText="1"/>
    </xf>
    <xf numFmtId="0" fontId="0" fillId="0" borderId="25" xfId="0" applyBorder="1" applyAlignment="1">
      <alignment wrapText="1"/>
    </xf>
    <xf numFmtId="0" fontId="2" fillId="2" borderId="26" xfId="0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0" fontId="0" fillId="7" borderId="15" xfId="0" applyFill="1" applyBorder="1" applyAlignment="1">
      <alignment wrapText="1"/>
    </xf>
    <xf numFmtId="0" fontId="0" fillId="7" borderId="0" xfId="0" applyFill="1"/>
    <xf numFmtId="0" fontId="2" fillId="2" borderId="27" xfId="0" applyFont="1" applyFill="1" applyBorder="1" applyAlignment="1">
      <alignment horizontal="center" wrapText="1"/>
    </xf>
    <xf numFmtId="0" fontId="0" fillId="0" borderId="28" xfId="0" applyBorder="1" applyAlignment="1">
      <alignment wrapText="1"/>
    </xf>
    <xf numFmtId="0" fontId="0" fillId="7" borderId="28" xfId="0" applyFill="1" applyBorder="1" applyAlignment="1">
      <alignment wrapText="1"/>
    </xf>
    <xf numFmtId="0" fontId="0" fillId="7" borderId="0" xfId="0" applyFill="1" applyAlignment="1">
      <alignment wrapText="1"/>
    </xf>
    <xf numFmtId="0" fontId="0" fillId="0" borderId="29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30" xfId="0" applyBorder="1" applyAlignment="1">
      <alignment wrapText="1"/>
    </xf>
    <xf numFmtId="0" fontId="0" fillId="10" borderId="31" xfId="0" applyFill="1" applyBorder="1" applyAlignment="1">
      <alignment wrapText="1"/>
    </xf>
    <xf numFmtId="0" fontId="0" fillId="0" borderId="8" xfId="0" applyBorder="1"/>
    <xf numFmtId="0" fontId="0" fillId="0" borderId="3" xfId="0" applyBorder="1"/>
    <xf numFmtId="0" fontId="0" fillId="0" borderId="32" xfId="0" applyBorder="1" applyAlignment="1">
      <alignment horizontal="center"/>
    </xf>
    <xf numFmtId="0" fontId="8" fillId="8" borderId="33" xfId="0" applyFont="1" applyFill="1" applyBorder="1" applyAlignment="1">
      <alignment horizontal="center" wrapText="1"/>
    </xf>
    <xf numFmtId="0" fontId="0" fillId="0" borderId="33" xfId="0" applyBorder="1" applyAlignment="1">
      <alignment horizontal="right"/>
    </xf>
    <xf numFmtId="0" fontId="0" fillId="0" borderId="33" xfId="0" applyBorder="1"/>
    <xf numFmtId="0" fontId="0" fillId="11" borderId="1" xfId="0" applyFill="1" applyBorder="1"/>
    <xf numFmtId="0" fontId="0" fillId="7" borderId="33" xfId="0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13" xfId="0" applyBorder="1" applyAlignment="1">
      <alignment horizontal="center"/>
    </xf>
    <xf numFmtId="0" fontId="3" fillId="0" borderId="0" xfId="0" applyFont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1" fillId="0" borderId="12" xfId="0" applyFont="1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Evolución del Colchón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'Plan Financiero'!$L$3</c:f>
              <c:strCache>
                <c:ptCount val="1"/>
                <c:pt idx="0">
                  <c:v>Colchón Acumulado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9044222222222221E-2"/>
                  <c:y val="-5.29166666666667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605-4291-AE55-D7A502B93912}"/>
                </c:ext>
              </c:extLst>
            </c:dLbl>
            <c:dLbl>
              <c:idx val="1"/>
              <c:layout>
                <c:manualLayout>
                  <c:x val="-3.6223222222222219E-2"/>
                  <c:y val="-5.64444444444444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605-4291-AE55-D7A502B93912}"/>
                </c:ext>
              </c:extLst>
            </c:dLbl>
            <c:dLbl>
              <c:idx val="2"/>
              <c:layout>
                <c:manualLayout>
                  <c:x val="-3.9084222222222222E-2"/>
                  <c:y val="-7.05555555555556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605-4291-AE55-D7A502B93912}"/>
                </c:ext>
              </c:extLst>
            </c:dLbl>
            <c:dLbl>
              <c:idx val="3"/>
              <c:layout>
                <c:manualLayout>
                  <c:x val="-3.9084222222222222E-2"/>
                  <c:y val="-7.05555555555556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605-4291-AE55-D7A502B93912}"/>
                </c:ext>
              </c:extLst>
            </c:dLbl>
            <c:dLbl>
              <c:idx val="4"/>
              <c:layout>
                <c:manualLayout>
                  <c:x val="-3.9084222222222326E-2"/>
                  <c:y val="-6.35000000000000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605-4291-AE55-D7A502B93912}"/>
                </c:ext>
              </c:extLst>
            </c:dLbl>
            <c:dLbl>
              <c:idx val="5"/>
              <c:layout>
                <c:manualLayout>
                  <c:x val="-3.7634333333333332E-2"/>
                  <c:y val="-6.35000000000000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605-4291-AE55-D7A502B93912}"/>
                </c:ext>
              </c:extLst>
            </c:dLbl>
            <c:dLbl>
              <c:idx val="6"/>
              <c:layout>
                <c:manualLayout>
                  <c:x val="-3.9084222222222222E-2"/>
                  <c:y val="-7.05555555555555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605-4291-AE55-D7A502B93912}"/>
                </c:ext>
              </c:extLst>
            </c:dLbl>
            <c:dLbl>
              <c:idx val="7"/>
              <c:layout>
                <c:manualLayout>
                  <c:x val="-3.9084222222222326E-2"/>
                  <c:y val="-6.70277777777778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605-4291-AE55-D7A502B939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'Plan Financiero'!$B$4:$B$11</c:f>
              <c:strCache>
                <c:ptCount val="8"/>
                <c:pt idx="0">
                  <c:v>September 2025</c:v>
                </c:pt>
                <c:pt idx="1">
                  <c:v>October 2025</c:v>
                </c:pt>
                <c:pt idx="2">
                  <c:v>November 2025</c:v>
                </c:pt>
                <c:pt idx="3">
                  <c:v>December 2025</c:v>
                </c:pt>
                <c:pt idx="4">
                  <c:v>January 2026</c:v>
                </c:pt>
                <c:pt idx="5">
                  <c:v>February 2026</c:v>
                </c:pt>
                <c:pt idx="6">
                  <c:v>March 2026</c:v>
                </c:pt>
                <c:pt idx="7">
                  <c:v>April 2026</c:v>
                </c:pt>
              </c:strCache>
            </c:strRef>
          </c:cat>
          <c:val>
            <c:numRef>
              <c:f>'Plan Financiero'!$L$4:$L$11</c:f>
              <c:numCache>
                <c:formatCode>General</c:formatCode>
                <c:ptCount val="8"/>
                <c:pt idx="0">
                  <c:v>400</c:v>
                </c:pt>
                <c:pt idx="1">
                  <c:v>1200</c:v>
                </c:pt>
                <c:pt idx="2">
                  <c:v>1604.44</c:v>
                </c:pt>
                <c:pt idx="3">
                  <c:v>1638.88</c:v>
                </c:pt>
                <c:pt idx="4">
                  <c:v>2241.3200000000002</c:v>
                </c:pt>
                <c:pt idx="5">
                  <c:v>2713.76</c:v>
                </c:pt>
                <c:pt idx="6">
                  <c:v>3206.2000000000003</c:v>
                </c:pt>
                <c:pt idx="7">
                  <c:v>3808.6400000000003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F7-4BFD-82E8-C4A7822022D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€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Distribución de gastos (Octubre 2025)</a:t>
            </a:r>
          </a:p>
        </c:rich>
      </c:tx>
      <c:layout>
        <c:manualLayout>
          <c:xMode val="edge"/>
          <c:yMode val="edge"/>
          <c:x val="9.0777777777777777E-2"/>
          <c:y val="2.8222222222222221E-2"/>
        </c:manualLayout>
      </c:layout>
      <c:overlay val="0"/>
    </c:title>
    <c:autoTitleDeleted val="0"/>
    <c:plotArea>
      <c:layout/>
      <c:pieChart>
        <c:varyColors val="1"/>
        <c:ser>
          <c:idx val="6"/>
          <c:order val="0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Financiero'!$D$5:$I$5</c:f>
              <c:numCache>
                <c:formatCode>General</c:formatCode>
                <c:ptCount val="6"/>
                <c:pt idx="0">
                  <c:v>49</c:v>
                </c:pt>
                <c:pt idx="1">
                  <c:v>140</c:v>
                </c:pt>
                <c:pt idx="2">
                  <c:v>70</c:v>
                </c:pt>
                <c:pt idx="3">
                  <c:v>40</c:v>
                </c:pt>
                <c:pt idx="4">
                  <c:v>20</c:v>
                </c:pt>
                <c:pt idx="5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21-444F-8A25-F3B925F8DB9F}"/>
            </c:ext>
          </c:extLst>
        </c:ser>
        <c:ser>
          <c:idx val="7"/>
          <c:order val="1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Financiero'!$E$4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21-444F-8A25-F3B925F8DB9F}"/>
            </c:ext>
          </c:extLst>
        </c:ser>
        <c:ser>
          <c:idx val="8"/>
          <c:order val="2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Financiero'!$F$4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F21-444F-8A25-F3B925F8DB9F}"/>
            </c:ext>
          </c:extLst>
        </c:ser>
        <c:ser>
          <c:idx val="9"/>
          <c:order val="3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Financiero'!$G$4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F21-444F-8A25-F3B925F8DB9F}"/>
            </c:ext>
          </c:extLst>
        </c:ser>
        <c:ser>
          <c:idx val="10"/>
          <c:order val="4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Financiero'!$H$4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F21-444F-8A25-F3B925F8DB9F}"/>
            </c:ext>
          </c:extLst>
        </c:ser>
        <c:ser>
          <c:idx val="11"/>
          <c:order val="5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Financiero'!$I$4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F21-444F-8A25-F3B925F8DB9F}"/>
            </c:ext>
          </c:extLst>
        </c:ser>
        <c:ser>
          <c:idx val="0"/>
          <c:order val="6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Financiero'!$D$4:$I$4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F21-444F-8A25-F3B925F8DB9F}"/>
            </c:ext>
          </c:extLst>
        </c:ser>
        <c:ser>
          <c:idx val="1"/>
          <c:order val="7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Financiero'!$E$4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F21-444F-8A25-F3B925F8DB9F}"/>
            </c:ext>
          </c:extLst>
        </c:ser>
        <c:ser>
          <c:idx val="2"/>
          <c:order val="8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Financiero'!$F$4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F21-444F-8A25-F3B925F8DB9F}"/>
            </c:ext>
          </c:extLst>
        </c:ser>
        <c:ser>
          <c:idx val="3"/>
          <c:order val="9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Financiero'!$G$4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F21-444F-8A25-F3B925F8DB9F}"/>
            </c:ext>
          </c:extLst>
        </c:ser>
        <c:ser>
          <c:idx val="4"/>
          <c:order val="10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Financiero'!$H$4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F21-444F-8A25-F3B925F8DB9F}"/>
            </c:ext>
          </c:extLst>
        </c:ser>
        <c:ser>
          <c:idx val="5"/>
          <c:order val="11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Financiero'!$I$4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F21-444F-8A25-F3B925F8DB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Distribución de gastos (Noviembre 2025)</a:t>
            </a:r>
          </a:p>
        </c:rich>
      </c:tx>
      <c:layout>
        <c:manualLayout>
          <c:xMode val="edge"/>
          <c:yMode val="edge"/>
          <c:x val="9.0777777777777777E-2"/>
          <c:y val="2.8222222222222221E-2"/>
        </c:manualLayout>
      </c:layout>
      <c:overlay val="0"/>
    </c:title>
    <c:autoTitleDeleted val="0"/>
    <c:plotArea>
      <c:layout/>
      <c:pieChart>
        <c:varyColors val="1"/>
        <c:ser>
          <c:idx val="6"/>
          <c:order val="0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Financiero'!$D$6:$I$6</c:f>
              <c:numCache>
                <c:formatCode>General</c:formatCode>
                <c:ptCount val="6"/>
                <c:pt idx="0">
                  <c:v>55</c:v>
                </c:pt>
                <c:pt idx="1">
                  <c:v>140</c:v>
                </c:pt>
                <c:pt idx="2">
                  <c:v>200</c:v>
                </c:pt>
                <c:pt idx="3">
                  <c:v>40</c:v>
                </c:pt>
                <c:pt idx="4">
                  <c:v>0</c:v>
                </c:pt>
                <c:pt idx="5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32-4547-8C21-6E7769DA1FD6}"/>
            </c:ext>
          </c:extLst>
        </c:ser>
        <c:ser>
          <c:idx val="7"/>
          <c:order val="1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Financiero'!$E$4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32-4547-8C21-6E7769DA1FD6}"/>
            </c:ext>
          </c:extLst>
        </c:ser>
        <c:ser>
          <c:idx val="8"/>
          <c:order val="2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Financiero'!$F$4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32-4547-8C21-6E7769DA1FD6}"/>
            </c:ext>
          </c:extLst>
        </c:ser>
        <c:ser>
          <c:idx val="9"/>
          <c:order val="3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Financiero'!$G$4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732-4547-8C21-6E7769DA1FD6}"/>
            </c:ext>
          </c:extLst>
        </c:ser>
        <c:ser>
          <c:idx val="10"/>
          <c:order val="4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Financiero'!$H$4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732-4547-8C21-6E7769DA1FD6}"/>
            </c:ext>
          </c:extLst>
        </c:ser>
        <c:ser>
          <c:idx val="11"/>
          <c:order val="5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Financiero'!$I$4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732-4547-8C21-6E7769DA1FD6}"/>
            </c:ext>
          </c:extLst>
        </c:ser>
        <c:ser>
          <c:idx val="0"/>
          <c:order val="6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Financiero'!$D$4:$I$4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732-4547-8C21-6E7769DA1FD6}"/>
            </c:ext>
          </c:extLst>
        </c:ser>
        <c:ser>
          <c:idx val="1"/>
          <c:order val="7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Financiero'!$E$4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732-4547-8C21-6E7769DA1FD6}"/>
            </c:ext>
          </c:extLst>
        </c:ser>
        <c:ser>
          <c:idx val="2"/>
          <c:order val="8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Financiero'!$F$4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732-4547-8C21-6E7769DA1FD6}"/>
            </c:ext>
          </c:extLst>
        </c:ser>
        <c:ser>
          <c:idx val="3"/>
          <c:order val="9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Financiero'!$G$4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732-4547-8C21-6E7769DA1FD6}"/>
            </c:ext>
          </c:extLst>
        </c:ser>
        <c:ser>
          <c:idx val="4"/>
          <c:order val="10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Financiero'!$H$4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732-4547-8C21-6E7769DA1FD6}"/>
            </c:ext>
          </c:extLst>
        </c:ser>
        <c:ser>
          <c:idx val="5"/>
          <c:order val="11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Financiero'!$I$4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732-4547-8C21-6E7769DA1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Distribución de gastos (Diciembre 2025)</a:t>
            </a:r>
          </a:p>
        </c:rich>
      </c:tx>
      <c:layout>
        <c:manualLayout>
          <c:xMode val="edge"/>
          <c:yMode val="edge"/>
          <c:x val="9.0777777777777777E-2"/>
          <c:y val="2.8222222222222221E-2"/>
        </c:manualLayout>
      </c:layout>
      <c:overlay val="0"/>
    </c:title>
    <c:autoTitleDeleted val="0"/>
    <c:plotArea>
      <c:layout/>
      <c:pieChart>
        <c:varyColors val="1"/>
        <c:ser>
          <c:idx val="6"/>
          <c:order val="0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Financiero'!$D$7:$I$7</c:f>
              <c:numCache>
                <c:formatCode>General</c:formatCode>
                <c:ptCount val="6"/>
                <c:pt idx="0">
                  <c:v>55</c:v>
                </c:pt>
                <c:pt idx="1">
                  <c:v>140</c:v>
                </c:pt>
                <c:pt idx="2">
                  <c:v>210</c:v>
                </c:pt>
                <c:pt idx="3">
                  <c:v>100</c:v>
                </c:pt>
                <c:pt idx="4">
                  <c:v>300</c:v>
                </c:pt>
                <c:pt idx="5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04-43E0-9E60-0DEB003CE95D}"/>
            </c:ext>
          </c:extLst>
        </c:ser>
        <c:ser>
          <c:idx val="7"/>
          <c:order val="1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Financiero'!$E$4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04-43E0-9E60-0DEB003CE95D}"/>
            </c:ext>
          </c:extLst>
        </c:ser>
        <c:ser>
          <c:idx val="8"/>
          <c:order val="2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Financiero'!$F$4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04-43E0-9E60-0DEB003CE95D}"/>
            </c:ext>
          </c:extLst>
        </c:ser>
        <c:ser>
          <c:idx val="9"/>
          <c:order val="3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Financiero'!$G$4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04-43E0-9E60-0DEB003CE95D}"/>
            </c:ext>
          </c:extLst>
        </c:ser>
        <c:ser>
          <c:idx val="10"/>
          <c:order val="4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Financiero'!$H$4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404-43E0-9E60-0DEB003CE95D}"/>
            </c:ext>
          </c:extLst>
        </c:ser>
        <c:ser>
          <c:idx val="11"/>
          <c:order val="5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Financiero'!$I$4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404-43E0-9E60-0DEB003CE95D}"/>
            </c:ext>
          </c:extLst>
        </c:ser>
        <c:ser>
          <c:idx val="0"/>
          <c:order val="6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Financiero'!$D$4:$I$4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404-43E0-9E60-0DEB003CE95D}"/>
            </c:ext>
          </c:extLst>
        </c:ser>
        <c:ser>
          <c:idx val="1"/>
          <c:order val="7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Financiero'!$E$4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404-43E0-9E60-0DEB003CE95D}"/>
            </c:ext>
          </c:extLst>
        </c:ser>
        <c:ser>
          <c:idx val="2"/>
          <c:order val="8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Financiero'!$F$4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404-43E0-9E60-0DEB003CE95D}"/>
            </c:ext>
          </c:extLst>
        </c:ser>
        <c:ser>
          <c:idx val="3"/>
          <c:order val="9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Financiero'!$G$4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404-43E0-9E60-0DEB003CE95D}"/>
            </c:ext>
          </c:extLst>
        </c:ser>
        <c:ser>
          <c:idx val="4"/>
          <c:order val="10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Financiero'!$H$4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404-43E0-9E60-0DEB003CE95D}"/>
            </c:ext>
          </c:extLst>
        </c:ser>
        <c:ser>
          <c:idx val="5"/>
          <c:order val="11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Financiero'!$I$4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404-43E0-9E60-0DEB003CE9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Distribución de gastos (Enero 2025)</a:t>
            </a:r>
          </a:p>
        </c:rich>
      </c:tx>
      <c:layout>
        <c:manualLayout>
          <c:xMode val="edge"/>
          <c:yMode val="edge"/>
          <c:x val="9.0777777777777777E-2"/>
          <c:y val="2.8222222222222221E-2"/>
        </c:manualLayout>
      </c:layout>
      <c:overlay val="0"/>
    </c:title>
    <c:autoTitleDeleted val="0"/>
    <c:plotArea>
      <c:layout/>
      <c:pieChart>
        <c:varyColors val="1"/>
        <c:ser>
          <c:idx val="6"/>
          <c:order val="0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Financiero'!$D$8:$I$8</c:f>
              <c:numCache>
                <c:formatCode>General</c:formatCode>
                <c:ptCount val="6"/>
                <c:pt idx="0">
                  <c:v>57</c:v>
                </c:pt>
                <c:pt idx="1">
                  <c:v>140</c:v>
                </c:pt>
                <c:pt idx="2">
                  <c:v>0</c:v>
                </c:pt>
                <c:pt idx="3">
                  <c:v>40</c:v>
                </c:pt>
                <c:pt idx="4">
                  <c:v>0</c:v>
                </c:pt>
                <c:pt idx="5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4D-45B8-8C6F-C7548D67135E}"/>
            </c:ext>
          </c:extLst>
        </c:ser>
        <c:ser>
          <c:idx val="7"/>
          <c:order val="1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Financiero'!$E$4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4D-45B8-8C6F-C7548D67135E}"/>
            </c:ext>
          </c:extLst>
        </c:ser>
        <c:ser>
          <c:idx val="8"/>
          <c:order val="2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Financiero'!$F$4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4D-45B8-8C6F-C7548D67135E}"/>
            </c:ext>
          </c:extLst>
        </c:ser>
        <c:ser>
          <c:idx val="9"/>
          <c:order val="3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Financiero'!$G$4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74D-45B8-8C6F-C7548D67135E}"/>
            </c:ext>
          </c:extLst>
        </c:ser>
        <c:ser>
          <c:idx val="10"/>
          <c:order val="4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Financiero'!$H$4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74D-45B8-8C6F-C7548D67135E}"/>
            </c:ext>
          </c:extLst>
        </c:ser>
        <c:ser>
          <c:idx val="11"/>
          <c:order val="5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Financiero'!$I$4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74D-45B8-8C6F-C7548D67135E}"/>
            </c:ext>
          </c:extLst>
        </c:ser>
        <c:ser>
          <c:idx val="0"/>
          <c:order val="6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Financiero'!$D$4:$I$4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74D-45B8-8C6F-C7548D67135E}"/>
            </c:ext>
          </c:extLst>
        </c:ser>
        <c:ser>
          <c:idx val="1"/>
          <c:order val="7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Financiero'!$E$4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74D-45B8-8C6F-C7548D67135E}"/>
            </c:ext>
          </c:extLst>
        </c:ser>
        <c:ser>
          <c:idx val="2"/>
          <c:order val="8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Financiero'!$F$4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74D-45B8-8C6F-C7548D67135E}"/>
            </c:ext>
          </c:extLst>
        </c:ser>
        <c:ser>
          <c:idx val="3"/>
          <c:order val="9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Financiero'!$G$4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74D-45B8-8C6F-C7548D67135E}"/>
            </c:ext>
          </c:extLst>
        </c:ser>
        <c:ser>
          <c:idx val="4"/>
          <c:order val="10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Financiero'!$H$4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74D-45B8-8C6F-C7548D67135E}"/>
            </c:ext>
          </c:extLst>
        </c:ser>
        <c:ser>
          <c:idx val="5"/>
          <c:order val="11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Financiero'!$I$4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74D-45B8-8C6F-C7548D6713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Distribución de gastos (Febrero 2025)</a:t>
            </a:r>
          </a:p>
        </c:rich>
      </c:tx>
      <c:layout>
        <c:manualLayout>
          <c:xMode val="edge"/>
          <c:yMode val="edge"/>
          <c:x val="9.0777777777777777E-2"/>
          <c:y val="2.8222222222222221E-2"/>
        </c:manualLayout>
      </c:layout>
      <c:overlay val="0"/>
    </c:title>
    <c:autoTitleDeleted val="0"/>
    <c:plotArea>
      <c:layout/>
      <c:pieChart>
        <c:varyColors val="1"/>
        <c:ser>
          <c:idx val="6"/>
          <c:order val="0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Financiero'!$D$9:$I$9</c:f>
              <c:numCache>
                <c:formatCode>General</c:formatCode>
                <c:ptCount val="6"/>
                <c:pt idx="0">
                  <c:v>57</c:v>
                </c:pt>
                <c:pt idx="1">
                  <c:v>140</c:v>
                </c:pt>
                <c:pt idx="2">
                  <c:v>0</c:v>
                </c:pt>
                <c:pt idx="3">
                  <c:v>120</c:v>
                </c:pt>
                <c:pt idx="4">
                  <c:v>50</c:v>
                </c:pt>
                <c:pt idx="5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AC-4A0C-848F-FD24DDB11C61}"/>
            </c:ext>
          </c:extLst>
        </c:ser>
        <c:ser>
          <c:idx val="7"/>
          <c:order val="1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Financiero'!$E$4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AC-4A0C-848F-FD24DDB11C61}"/>
            </c:ext>
          </c:extLst>
        </c:ser>
        <c:ser>
          <c:idx val="8"/>
          <c:order val="2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Financiero'!$F$4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AC-4A0C-848F-FD24DDB11C61}"/>
            </c:ext>
          </c:extLst>
        </c:ser>
        <c:ser>
          <c:idx val="9"/>
          <c:order val="3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Financiero'!$G$4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2AC-4A0C-848F-FD24DDB11C61}"/>
            </c:ext>
          </c:extLst>
        </c:ser>
        <c:ser>
          <c:idx val="10"/>
          <c:order val="4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Financiero'!$H$4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2AC-4A0C-848F-FD24DDB11C61}"/>
            </c:ext>
          </c:extLst>
        </c:ser>
        <c:ser>
          <c:idx val="11"/>
          <c:order val="5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Financiero'!$I$4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2AC-4A0C-848F-FD24DDB11C61}"/>
            </c:ext>
          </c:extLst>
        </c:ser>
        <c:ser>
          <c:idx val="0"/>
          <c:order val="6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Financiero'!$D$4:$I$4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2AC-4A0C-848F-FD24DDB11C61}"/>
            </c:ext>
          </c:extLst>
        </c:ser>
        <c:ser>
          <c:idx val="1"/>
          <c:order val="7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Financiero'!$E$4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2AC-4A0C-848F-FD24DDB11C61}"/>
            </c:ext>
          </c:extLst>
        </c:ser>
        <c:ser>
          <c:idx val="2"/>
          <c:order val="8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Financiero'!$F$4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2AC-4A0C-848F-FD24DDB11C61}"/>
            </c:ext>
          </c:extLst>
        </c:ser>
        <c:ser>
          <c:idx val="3"/>
          <c:order val="9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Financiero'!$G$4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2AC-4A0C-848F-FD24DDB11C61}"/>
            </c:ext>
          </c:extLst>
        </c:ser>
        <c:ser>
          <c:idx val="4"/>
          <c:order val="10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Financiero'!$H$4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2AC-4A0C-848F-FD24DDB11C61}"/>
            </c:ext>
          </c:extLst>
        </c:ser>
        <c:ser>
          <c:idx val="5"/>
          <c:order val="11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Financiero'!$I$4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2AC-4A0C-848F-FD24DDB11C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Distribución de gastos (Marzo 2025)</a:t>
            </a:r>
          </a:p>
        </c:rich>
      </c:tx>
      <c:layout>
        <c:manualLayout>
          <c:xMode val="edge"/>
          <c:yMode val="edge"/>
          <c:x val="9.0777777777777777E-2"/>
          <c:y val="2.8222222222222221E-2"/>
        </c:manualLayout>
      </c:layout>
      <c:overlay val="0"/>
    </c:title>
    <c:autoTitleDeleted val="0"/>
    <c:plotArea>
      <c:layout/>
      <c:pieChart>
        <c:varyColors val="1"/>
        <c:ser>
          <c:idx val="12"/>
          <c:order val="0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Financiero'!$D$10:$I$10</c:f>
              <c:numCache>
                <c:formatCode>General</c:formatCode>
                <c:ptCount val="6"/>
                <c:pt idx="0">
                  <c:v>57</c:v>
                </c:pt>
                <c:pt idx="1">
                  <c:v>140</c:v>
                </c:pt>
                <c:pt idx="2">
                  <c:v>0</c:v>
                </c:pt>
                <c:pt idx="3">
                  <c:v>50</c:v>
                </c:pt>
                <c:pt idx="4">
                  <c:v>100</c:v>
                </c:pt>
                <c:pt idx="5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2766-43D6-91BF-BE208583E00D}"/>
            </c:ext>
          </c:extLst>
        </c:ser>
        <c:ser>
          <c:idx val="13"/>
          <c:order val="1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Financiero'!$E$4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2766-43D6-91BF-BE208583E00D}"/>
            </c:ext>
          </c:extLst>
        </c:ser>
        <c:ser>
          <c:idx val="14"/>
          <c:order val="2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Financiero'!$F$4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2766-43D6-91BF-BE208583E00D}"/>
            </c:ext>
          </c:extLst>
        </c:ser>
        <c:ser>
          <c:idx val="15"/>
          <c:order val="3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Financiero'!$G$4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2766-43D6-91BF-BE208583E00D}"/>
            </c:ext>
          </c:extLst>
        </c:ser>
        <c:ser>
          <c:idx val="16"/>
          <c:order val="4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Financiero'!$H$4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2766-43D6-91BF-BE208583E00D}"/>
            </c:ext>
          </c:extLst>
        </c:ser>
        <c:ser>
          <c:idx val="17"/>
          <c:order val="5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Financiero'!$I$4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2766-43D6-91BF-BE208583E00D}"/>
            </c:ext>
          </c:extLst>
        </c:ser>
        <c:ser>
          <c:idx val="18"/>
          <c:order val="6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Financiero'!$D$4:$I$4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2766-43D6-91BF-BE208583E00D}"/>
            </c:ext>
          </c:extLst>
        </c:ser>
        <c:ser>
          <c:idx val="19"/>
          <c:order val="7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Financiero'!$E$4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2766-43D6-91BF-BE208583E00D}"/>
            </c:ext>
          </c:extLst>
        </c:ser>
        <c:ser>
          <c:idx val="20"/>
          <c:order val="8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Financiero'!$F$4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2766-43D6-91BF-BE208583E00D}"/>
            </c:ext>
          </c:extLst>
        </c:ser>
        <c:ser>
          <c:idx val="21"/>
          <c:order val="9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Financiero'!$G$4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2766-43D6-91BF-BE208583E00D}"/>
            </c:ext>
          </c:extLst>
        </c:ser>
        <c:ser>
          <c:idx val="22"/>
          <c:order val="10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Financiero'!$H$4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2766-43D6-91BF-BE208583E00D}"/>
            </c:ext>
          </c:extLst>
        </c:ser>
        <c:ser>
          <c:idx val="23"/>
          <c:order val="11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Financiero'!$I$4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2766-43D6-91BF-BE208583E00D}"/>
            </c:ext>
          </c:extLst>
        </c:ser>
        <c:ser>
          <c:idx val="6"/>
          <c:order val="12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Financiero'!$D$4:$I$4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766-43D6-91BF-BE208583E00D}"/>
            </c:ext>
          </c:extLst>
        </c:ser>
        <c:ser>
          <c:idx val="7"/>
          <c:order val="13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Financiero'!$E$4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2766-43D6-91BF-BE208583E00D}"/>
            </c:ext>
          </c:extLst>
        </c:ser>
        <c:ser>
          <c:idx val="8"/>
          <c:order val="14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Financiero'!$F$4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2766-43D6-91BF-BE208583E00D}"/>
            </c:ext>
          </c:extLst>
        </c:ser>
        <c:ser>
          <c:idx val="9"/>
          <c:order val="15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Financiero'!$G$4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2766-43D6-91BF-BE208583E00D}"/>
            </c:ext>
          </c:extLst>
        </c:ser>
        <c:ser>
          <c:idx val="10"/>
          <c:order val="16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Financiero'!$H$4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2766-43D6-91BF-BE208583E00D}"/>
            </c:ext>
          </c:extLst>
        </c:ser>
        <c:ser>
          <c:idx val="11"/>
          <c:order val="17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Financiero'!$I$4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2766-43D6-91BF-BE208583E00D}"/>
            </c:ext>
          </c:extLst>
        </c:ser>
        <c:ser>
          <c:idx val="0"/>
          <c:order val="18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Financiero'!$D$4:$I$4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2766-43D6-91BF-BE208583E00D}"/>
            </c:ext>
          </c:extLst>
        </c:ser>
        <c:ser>
          <c:idx val="1"/>
          <c:order val="19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Financiero'!$E$4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2766-43D6-91BF-BE208583E00D}"/>
            </c:ext>
          </c:extLst>
        </c:ser>
        <c:ser>
          <c:idx val="2"/>
          <c:order val="20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Financiero'!$F$4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2766-43D6-91BF-BE208583E00D}"/>
            </c:ext>
          </c:extLst>
        </c:ser>
        <c:ser>
          <c:idx val="3"/>
          <c:order val="21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Financiero'!$G$4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2766-43D6-91BF-BE208583E00D}"/>
            </c:ext>
          </c:extLst>
        </c:ser>
        <c:ser>
          <c:idx val="4"/>
          <c:order val="22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Financiero'!$H$4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2766-43D6-91BF-BE208583E00D}"/>
            </c:ext>
          </c:extLst>
        </c:ser>
        <c:ser>
          <c:idx val="5"/>
          <c:order val="23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Financiero'!$I$4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2766-43D6-91BF-BE208583E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Distribución de gastos (Abril 2025)</a:t>
            </a:r>
          </a:p>
        </c:rich>
      </c:tx>
      <c:layout>
        <c:manualLayout>
          <c:xMode val="edge"/>
          <c:yMode val="edge"/>
          <c:x val="9.0777777777777777E-2"/>
          <c:y val="2.8222222222222221E-2"/>
        </c:manualLayout>
      </c:layout>
      <c:overlay val="0"/>
    </c:title>
    <c:autoTitleDeleted val="0"/>
    <c:plotArea>
      <c:layout/>
      <c:pieChart>
        <c:varyColors val="1"/>
        <c:ser>
          <c:idx val="6"/>
          <c:order val="0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Financiero'!$D$11:$I$11</c:f>
              <c:numCache>
                <c:formatCode>General</c:formatCode>
                <c:ptCount val="6"/>
                <c:pt idx="0">
                  <c:v>57</c:v>
                </c:pt>
                <c:pt idx="1">
                  <c:v>140</c:v>
                </c:pt>
                <c:pt idx="2">
                  <c:v>0</c:v>
                </c:pt>
                <c:pt idx="3">
                  <c:v>40</c:v>
                </c:pt>
                <c:pt idx="4">
                  <c:v>0</c:v>
                </c:pt>
                <c:pt idx="5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AA-4B05-90B0-0F2D0CBF87DE}"/>
            </c:ext>
          </c:extLst>
        </c:ser>
        <c:ser>
          <c:idx val="7"/>
          <c:order val="1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Financiero'!$E$4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AA-4B05-90B0-0F2D0CBF87DE}"/>
            </c:ext>
          </c:extLst>
        </c:ser>
        <c:ser>
          <c:idx val="8"/>
          <c:order val="2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Financiero'!$F$4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AA-4B05-90B0-0F2D0CBF87DE}"/>
            </c:ext>
          </c:extLst>
        </c:ser>
        <c:ser>
          <c:idx val="9"/>
          <c:order val="3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Financiero'!$G$4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6AA-4B05-90B0-0F2D0CBF87DE}"/>
            </c:ext>
          </c:extLst>
        </c:ser>
        <c:ser>
          <c:idx val="10"/>
          <c:order val="4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Financiero'!$H$4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6AA-4B05-90B0-0F2D0CBF87DE}"/>
            </c:ext>
          </c:extLst>
        </c:ser>
        <c:ser>
          <c:idx val="11"/>
          <c:order val="5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Financiero'!$I$4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6AA-4B05-90B0-0F2D0CBF87DE}"/>
            </c:ext>
          </c:extLst>
        </c:ser>
        <c:ser>
          <c:idx val="0"/>
          <c:order val="6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Financiero'!$D$4:$I$4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6AA-4B05-90B0-0F2D0CBF87DE}"/>
            </c:ext>
          </c:extLst>
        </c:ser>
        <c:ser>
          <c:idx val="1"/>
          <c:order val="7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Financiero'!$E$4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6AA-4B05-90B0-0F2D0CBF87DE}"/>
            </c:ext>
          </c:extLst>
        </c:ser>
        <c:ser>
          <c:idx val="2"/>
          <c:order val="8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Financiero'!$F$4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6AA-4B05-90B0-0F2D0CBF87DE}"/>
            </c:ext>
          </c:extLst>
        </c:ser>
        <c:ser>
          <c:idx val="3"/>
          <c:order val="9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Financiero'!$G$4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6AA-4B05-90B0-0F2D0CBF87DE}"/>
            </c:ext>
          </c:extLst>
        </c:ser>
        <c:ser>
          <c:idx val="4"/>
          <c:order val="10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Financiero'!$H$4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6AA-4B05-90B0-0F2D0CBF87DE}"/>
            </c:ext>
          </c:extLst>
        </c:ser>
        <c:ser>
          <c:idx val="5"/>
          <c:order val="11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Financiero'!$I$4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6AA-4B05-90B0-0F2D0CBF87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Gasto/Ahorro/Colchon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1.4699125112702938E-2"/>
          <c:y val="0.15509189137569757"/>
          <c:w val="0.97305160396004464"/>
          <c:h val="0.79186871497666222"/>
        </c:manualLayout>
      </c:layout>
      <c:barChart>
        <c:barDir val="col"/>
        <c:grouping val="clustered"/>
        <c:varyColors val="0"/>
        <c:ser>
          <c:idx val="0"/>
          <c:order val="0"/>
          <c:tx>
            <c:v>Gasto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'Plan Financiero'!$B$4:$B$11</c:f>
              <c:strCache>
                <c:ptCount val="8"/>
                <c:pt idx="0">
                  <c:v>September 2025</c:v>
                </c:pt>
                <c:pt idx="1">
                  <c:v>October 2025</c:v>
                </c:pt>
                <c:pt idx="2">
                  <c:v>November 2025</c:v>
                </c:pt>
                <c:pt idx="3">
                  <c:v>December 2025</c:v>
                </c:pt>
                <c:pt idx="4">
                  <c:v>January 2026</c:v>
                </c:pt>
                <c:pt idx="5">
                  <c:v>February 2026</c:v>
                </c:pt>
                <c:pt idx="6">
                  <c:v>March 2026</c:v>
                </c:pt>
                <c:pt idx="7">
                  <c:v>April 2026</c:v>
                </c:pt>
              </c:strCache>
            </c:strRef>
          </c:cat>
          <c:val>
            <c:numRef>
              <c:f>'Plan Financiero'!$J$4:$J$11</c:f>
              <c:numCache>
                <c:formatCode>General</c:formatCode>
                <c:ptCount val="8"/>
                <c:pt idx="0">
                  <c:v>0</c:v>
                </c:pt>
                <c:pt idx="1">
                  <c:v>362</c:v>
                </c:pt>
                <c:pt idx="2">
                  <c:v>575</c:v>
                </c:pt>
                <c:pt idx="3">
                  <c:v>945</c:v>
                </c:pt>
                <c:pt idx="4">
                  <c:v>377</c:v>
                </c:pt>
                <c:pt idx="5">
                  <c:v>507</c:v>
                </c:pt>
                <c:pt idx="6">
                  <c:v>487</c:v>
                </c:pt>
                <c:pt idx="7">
                  <c:v>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4A-42F3-9AC4-35233672D0A1}"/>
            </c:ext>
          </c:extLst>
        </c:ser>
        <c:ser>
          <c:idx val="1"/>
          <c:order val="1"/>
          <c:tx>
            <c:v>Ahorro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'Plan Financiero'!$B$4:$B$11</c:f>
              <c:strCache>
                <c:ptCount val="8"/>
                <c:pt idx="0">
                  <c:v>September 2025</c:v>
                </c:pt>
                <c:pt idx="1">
                  <c:v>October 2025</c:v>
                </c:pt>
                <c:pt idx="2">
                  <c:v>November 2025</c:v>
                </c:pt>
                <c:pt idx="3">
                  <c:v>December 2025</c:v>
                </c:pt>
                <c:pt idx="4">
                  <c:v>January 2026</c:v>
                </c:pt>
                <c:pt idx="5">
                  <c:v>February 2026</c:v>
                </c:pt>
                <c:pt idx="6">
                  <c:v>March 2026</c:v>
                </c:pt>
                <c:pt idx="7">
                  <c:v>April 2026</c:v>
                </c:pt>
              </c:strCache>
            </c:strRef>
          </c:cat>
          <c:val>
            <c:numRef>
              <c:f>'Plan Financiero'!$K$4:$K$11</c:f>
              <c:numCache>
                <c:formatCode>General</c:formatCode>
                <c:ptCount val="8"/>
                <c:pt idx="0">
                  <c:v>0</c:v>
                </c:pt>
                <c:pt idx="1">
                  <c:v>617.44000000000005</c:v>
                </c:pt>
                <c:pt idx="2">
                  <c:v>404.44000000000005</c:v>
                </c:pt>
                <c:pt idx="3">
                  <c:v>34.440000000000055</c:v>
                </c:pt>
                <c:pt idx="4">
                  <c:v>602.44000000000005</c:v>
                </c:pt>
                <c:pt idx="5">
                  <c:v>472.44000000000005</c:v>
                </c:pt>
                <c:pt idx="6">
                  <c:v>492.44000000000005</c:v>
                </c:pt>
                <c:pt idx="7">
                  <c:v>602.44000000000005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4A-42F3-9AC4-35233672D0A1}"/>
            </c:ext>
          </c:extLst>
        </c:ser>
        <c:ser>
          <c:idx val="2"/>
          <c:order val="2"/>
          <c:tx>
            <c:v>Colchon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'Plan Financiero'!$B$4:$B$11</c:f>
              <c:strCache>
                <c:ptCount val="8"/>
                <c:pt idx="0">
                  <c:v>September 2025</c:v>
                </c:pt>
                <c:pt idx="1">
                  <c:v>October 2025</c:v>
                </c:pt>
                <c:pt idx="2">
                  <c:v>November 2025</c:v>
                </c:pt>
                <c:pt idx="3">
                  <c:v>December 2025</c:v>
                </c:pt>
                <c:pt idx="4">
                  <c:v>January 2026</c:v>
                </c:pt>
                <c:pt idx="5">
                  <c:v>February 2026</c:v>
                </c:pt>
                <c:pt idx="6">
                  <c:v>March 2026</c:v>
                </c:pt>
                <c:pt idx="7">
                  <c:v>April 2026</c:v>
                </c:pt>
              </c:strCache>
            </c:strRef>
          </c:cat>
          <c:val>
            <c:numRef>
              <c:f>'Plan Financiero'!$L$4:$L$11</c:f>
              <c:numCache>
                <c:formatCode>General</c:formatCode>
                <c:ptCount val="8"/>
                <c:pt idx="0">
                  <c:v>400</c:v>
                </c:pt>
                <c:pt idx="1">
                  <c:v>1200</c:v>
                </c:pt>
                <c:pt idx="2">
                  <c:v>1604.44</c:v>
                </c:pt>
                <c:pt idx="3">
                  <c:v>1638.88</c:v>
                </c:pt>
                <c:pt idx="4">
                  <c:v>2241.3200000000002</c:v>
                </c:pt>
                <c:pt idx="5">
                  <c:v>2713.76</c:v>
                </c:pt>
                <c:pt idx="6">
                  <c:v>3206.2000000000003</c:v>
                </c:pt>
                <c:pt idx="7">
                  <c:v>3808.6400000000003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4A-42F3-9AC4-35233672D0A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77693088"/>
        <c:axId val="1477706528"/>
      </c:barChart>
      <c:catAx>
        <c:axId val="1477693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77706528"/>
        <c:crosses val="autoZero"/>
        <c:auto val="1"/>
        <c:lblAlgn val="ctr"/>
        <c:lblOffset val="100"/>
        <c:noMultiLvlLbl val="0"/>
      </c:catAx>
      <c:valAx>
        <c:axId val="147770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77693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9524</xdr:colOff>
      <xdr:row>2</xdr:row>
      <xdr:rowOff>9524</xdr:rowOff>
    </xdr:from>
    <xdr:ext cx="10448925" cy="3705225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19</xdr:col>
      <xdr:colOff>9525</xdr:colOff>
      <xdr:row>46</xdr:row>
      <xdr:rowOff>95250</xdr:rowOff>
    </xdr:from>
    <xdr:ext cx="3476625" cy="2447925"/>
    <xdr:graphicFrame macro="">
      <xdr:nvGraphicFramePr>
        <xdr:cNvPr id="7" name="Chart 2">
          <a:extLst>
            <a:ext uri="{FF2B5EF4-FFF2-40B4-BE49-F238E27FC236}">
              <a16:creationId xmlns:a16="http://schemas.microsoft.com/office/drawing/2014/main" id="{695627DA-B354-4429-B540-93521E957909}"/>
            </a:ext>
            <a:ext uri="{147F2762-F138-4A5C-976F-8EAC2B608ADB}">
              <a16:predDERef xmlns:a16="http://schemas.microsoft.com/office/drawing/2014/main" pre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438150</xdr:colOff>
      <xdr:row>46</xdr:row>
      <xdr:rowOff>95250</xdr:rowOff>
    </xdr:from>
    <xdr:ext cx="3476625" cy="2447925"/>
    <xdr:graphicFrame macro="">
      <xdr:nvGraphicFramePr>
        <xdr:cNvPr id="8" name="Chart 2">
          <a:extLst>
            <a:ext uri="{FF2B5EF4-FFF2-40B4-BE49-F238E27FC236}">
              <a16:creationId xmlns:a16="http://schemas.microsoft.com/office/drawing/2014/main" id="{75F32934-EDF2-4333-BA68-2D1E4EE821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257175</xdr:colOff>
      <xdr:row>46</xdr:row>
      <xdr:rowOff>95250</xdr:rowOff>
    </xdr:from>
    <xdr:ext cx="3476625" cy="2447925"/>
    <xdr:graphicFrame macro="">
      <xdr:nvGraphicFramePr>
        <xdr:cNvPr id="9" name="Chart 2">
          <a:extLst>
            <a:ext uri="{FF2B5EF4-FFF2-40B4-BE49-F238E27FC236}">
              <a16:creationId xmlns:a16="http://schemas.microsoft.com/office/drawing/2014/main" id="{585367C9-E327-41BA-B9F3-D7DC7B2AFA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19</xdr:col>
      <xdr:colOff>9525</xdr:colOff>
      <xdr:row>58</xdr:row>
      <xdr:rowOff>161925</xdr:rowOff>
    </xdr:from>
    <xdr:ext cx="3476625" cy="2447925"/>
    <xdr:graphicFrame macro="">
      <xdr:nvGraphicFramePr>
        <xdr:cNvPr id="10" name="Chart 2">
          <a:extLst>
            <a:ext uri="{FF2B5EF4-FFF2-40B4-BE49-F238E27FC236}">
              <a16:creationId xmlns:a16="http://schemas.microsoft.com/office/drawing/2014/main" id="{314AC7F8-6272-4E6A-8836-91B1D1BAA1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24</xdr:col>
      <xdr:colOff>438150</xdr:colOff>
      <xdr:row>58</xdr:row>
      <xdr:rowOff>161925</xdr:rowOff>
    </xdr:from>
    <xdr:ext cx="3476625" cy="2447925"/>
    <xdr:graphicFrame macro="">
      <xdr:nvGraphicFramePr>
        <xdr:cNvPr id="11" name="Chart 2">
          <a:extLst>
            <a:ext uri="{FF2B5EF4-FFF2-40B4-BE49-F238E27FC236}">
              <a16:creationId xmlns:a16="http://schemas.microsoft.com/office/drawing/2014/main" id="{EA910A55-7C8C-4C44-81E0-BF99378B2D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30</xdr:col>
      <xdr:colOff>257175</xdr:colOff>
      <xdr:row>58</xdr:row>
      <xdr:rowOff>161925</xdr:rowOff>
    </xdr:from>
    <xdr:ext cx="3476625" cy="2447925"/>
    <xdr:graphicFrame macro="">
      <xdr:nvGraphicFramePr>
        <xdr:cNvPr id="12" name="Chart 2">
          <a:extLst>
            <a:ext uri="{FF2B5EF4-FFF2-40B4-BE49-F238E27FC236}">
              <a16:creationId xmlns:a16="http://schemas.microsoft.com/office/drawing/2014/main" id="{B6F705BB-2343-44B5-A9B4-EC35D653B1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24</xdr:col>
      <xdr:colOff>438150</xdr:colOff>
      <xdr:row>70</xdr:row>
      <xdr:rowOff>95250</xdr:rowOff>
    </xdr:from>
    <xdr:ext cx="3476625" cy="2447925"/>
    <xdr:graphicFrame macro="">
      <xdr:nvGraphicFramePr>
        <xdr:cNvPr id="13" name="Chart 2">
          <a:extLst>
            <a:ext uri="{FF2B5EF4-FFF2-40B4-BE49-F238E27FC236}">
              <a16:creationId xmlns:a16="http://schemas.microsoft.com/office/drawing/2014/main" id="{070F96B6-5D3D-4596-B16E-9194DABABD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twoCellAnchor>
    <xdr:from>
      <xdr:col>19</xdr:col>
      <xdr:colOff>14285</xdr:colOff>
      <xdr:row>20</xdr:row>
      <xdr:rowOff>185736</xdr:rowOff>
    </xdr:from>
    <xdr:to>
      <xdr:col>36</xdr:col>
      <xdr:colOff>85724</xdr:colOff>
      <xdr:row>46</xdr:row>
      <xdr:rowOff>85725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631644F-4DC1-5FF1-F61C-CB66CBA5E2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W119"/>
  <sheetViews>
    <sheetView tabSelected="1" zoomScale="90" zoomScaleNormal="90" workbookViewId="0">
      <selection activeCell="H3" sqref="H3"/>
    </sheetView>
  </sheetViews>
  <sheetFormatPr baseColWidth="10" defaultColWidth="9.140625" defaultRowHeight="15" x14ac:dyDescent="0.25"/>
  <cols>
    <col min="1" max="1" width="12.28515625" customWidth="1"/>
    <col min="2" max="2" width="31.140625" customWidth="1"/>
    <col min="3" max="4" width="16" customWidth="1"/>
    <col min="5" max="5" width="25.42578125" customWidth="1"/>
    <col min="6" max="8" width="16" customWidth="1"/>
    <col min="9" max="9" width="18.28515625" customWidth="1"/>
    <col min="10" max="11" width="16" customWidth="1"/>
    <col min="12" max="12" width="22.140625" customWidth="1"/>
    <col min="13" max="16" width="22.5703125" customWidth="1"/>
    <col min="17" max="18" width="26.42578125" customWidth="1"/>
    <col min="19" max="19" width="22.5703125" customWidth="1"/>
  </cols>
  <sheetData>
    <row r="1" spans="1:49" ht="72.75" customHeight="1" thickBot="1" x14ac:dyDescent="0.3">
      <c r="A1" s="74"/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</row>
    <row r="2" spans="1:49" ht="18.75" x14ac:dyDescent="0.3">
      <c r="A2" s="74"/>
      <c r="B2" s="79" t="s">
        <v>0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67"/>
      <c r="R2" s="68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4"/>
      <c r="AT2" s="74"/>
      <c r="AU2" s="74"/>
      <c r="AV2" s="74"/>
      <c r="AW2" s="74"/>
    </row>
    <row r="3" spans="1:49" ht="20.25" customHeight="1" x14ac:dyDescent="0.25">
      <c r="A3" s="74"/>
      <c r="B3" s="58" t="s">
        <v>1</v>
      </c>
      <c r="C3" s="47" t="s">
        <v>2</v>
      </c>
      <c r="D3" s="47" t="s">
        <v>3</v>
      </c>
      <c r="E3" s="47" t="s">
        <v>4</v>
      </c>
      <c r="F3" s="47" t="s">
        <v>5</v>
      </c>
      <c r="G3" s="47" t="s">
        <v>6</v>
      </c>
      <c r="H3" s="47" t="s">
        <v>7</v>
      </c>
      <c r="I3" s="47" t="s">
        <v>8</v>
      </c>
      <c r="J3" s="54" t="s">
        <v>9</v>
      </c>
      <c r="K3" s="47" t="s">
        <v>10</v>
      </c>
      <c r="L3" s="54" t="s">
        <v>11</v>
      </c>
      <c r="M3" s="48" t="s">
        <v>12</v>
      </c>
      <c r="N3" s="48" t="s">
        <v>13</v>
      </c>
      <c r="O3" s="48" t="s">
        <v>14</v>
      </c>
      <c r="P3" s="48" t="s">
        <v>15</v>
      </c>
      <c r="Q3" s="48" t="s">
        <v>77</v>
      </c>
      <c r="R3" s="69" t="s">
        <v>78</v>
      </c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4"/>
      <c r="AU3" s="74"/>
      <c r="AV3" s="74"/>
      <c r="AW3" s="74"/>
    </row>
    <row r="4" spans="1:49" x14ac:dyDescent="0.25">
      <c r="A4" s="74"/>
      <c r="B4" s="59" t="s">
        <v>16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55">
        <f t="shared" ref="J4" si="0">SUM(D4:I4)</f>
        <v>0</v>
      </c>
      <c r="K4" s="2">
        <f t="shared" ref="K4:K11" si="1">C4-J4</f>
        <v>0</v>
      </c>
      <c r="L4" s="55">
        <v>400</v>
      </c>
      <c r="M4" s="35" t="s">
        <v>17</v>
      </c>
      <c r="N4" s="35" t="s">
        <v>17</v>
      </c>
      <c r="O4" s="35" t="s">
        <v>17</v>
      </c>
      <c r="P4" s="35" t="s">
        <v>17</v>
      </c>
      <c r="Q4" s="35" t="s">
        <v>17</v>
      </c>
      <c r="R4" s="70" t="s">
        <v>17</v>
      </c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4"/>
      <c r="AQ4" s="74"/>
      <c r="AR4" s="74"/>
      <c r="AS4" s="74"/>
      <c r="AT4" s="74"/>
      <c r="AU4" s="74"/>
      <c r="AV4" s="74"/>
      <c r="AW4" s="74"/>
    </row>
    <row r="5" spans="1:49" x14ac:dyDescent="0.25">
      <c r="A5" s="74"/>
      <c r="B5" s="59" t="s">
        <v>18</v>
      </c>
      <c r="C5" s="2">
        <f>C68</f>
        <v>979.44</v>
      </c>
      <c r="D5" s="2">
        <f>D44</f>
        <v>49</v>
      </c>
      <c r="E5" s="2">
        <f>J26</f>
        <v>140</v>
      </c>
      <c r="F5" s="2">
        <v>70</v>
      </c>
      <c r="G5" s="2">
        <f>J44</f>
        <v>40</v>
      </c>
      <c r="H5" s="2">
        <v>20</v>
      </c>
      <c r="I5" s="2">
        <f>J62</f>
        <v>85</v>
      </c>
      <c r="J5" s="55">
        <v>362</v>
      </c>
      <c r="K5" s="2">
        <f>C5-J5</f>
        <v>617.44000000000005</v>
      </c>
      <c r="L5" s="55">
        <v>1200</v>
      </c>
      <c r="M5">
        <v>200</v>
      </c>
      <c r="N5">
        <f>J5/4</f>
        <v>90.5</v>
      </c>
      <c r="O5">
        <v>0</v>
      </c>
      <c r="P5">
        <v>100</v>
      </c>
      <c r="Q5">
        <v>200</v>
      </c>
      <c r="R5" s="71">
        <f>L5+P5+O5+Q5</f>
        <v>1500</v>
      </c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4"/>
      <c r="AP5" s="74"/>
      <c r="AQ5" s="74"/>
      <c r="AR5" s="74"/>
      <c r="AS5" s="74"/>
      <c r="AT5" s="74"/>
      <c r="AU5" s="74"/>
      <c r="AV5" s="74"/>
      <c r="AW5" s="74"/>
    </row>
    <row r="6" spans="1:49" x14ac:dyDescent="0.25">
      <c r="A6" s="74"/>
      <c r="B6" s="60" t="s">
        <v>19</v>
      </c>
      <c r="C6" s="61">
        <f>C68</f>
        <v>979.44</v>
      </c>
      <c r="D6" s="61">
        <f>D44+6</f>
        <v>55</v>
      </c>
      <c r="E6" s="61">
        <f>J26</f>
        <v>140</v>
      </c>
      <c r="F6" s="61">
        <f>C25</f>
        <v>200</v>
      </c>
      <c r="G6" s="61">
        <f>J44</f>
        <v>40</v>
      </c>
      <c r="H6" s="61">
        <v>0</v>
      </c>
      <c r="I6" s="61">
        <f>J62</f>
        <v>85</v>
      </c>
      <c r="J6" s="56">
        <f>SUM(D6:I6)+J43</f>
        <v>575</v>
      </c>
      <c r="K6" s="61">
        <f t="shared" si="1"/>
        <v>404.44000000000005</v>
      </c>
      <c r="L6" s="56">
        <f t="shared" ref="L6:L10" si="2">M6+C6</f>
        <v>1604.44</v>
      </c>
      <c r="M6" s="57">
        <f t="shared" ref="M6:M11" si="3">L5-J6</f>
        <v>625</v>
      </c>
      <c r="N6" s="57">
        <f>(J6-F6-J43-D6-H6)/4</f>
        <v>66.25</v>
      </c>
      <c r="O6" s="57">
        <f>J43+O5</f>
        <v>55</v>
      </c>
      <c r="P6" s="57">
        <f>P5+J61</f>
        <v>120</v>
      </c>
      <c r="Q6" s="57">
        <f>Q5+J60</f>
        <v>225</v>
      </c>
      <c r="R6" s="73">
        <f t="shared" ref="R6:R10" si="4">L6+P6+O6+Q6</f>
        <v>2004.44</v>
      </c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4"/>
      <c r="AV6" s="74"/>
      <c r="AW6" s="74"/>
    </row>
    <row r="7" spans="1:49" x14ac:dyDescent="0.25">
      <c r="A7" s="74"/>
      <c r="B7" s="59" t="s">
        <v>20</v>
      </c>
      <c r="C7" s="2">
        <f>C68</f>
        <v>979.44</v>
      </c>
      <c r="D7" s="2">
        <f>D44+6</f>
        <v>55</v>
      </c>
      <c r="E7" s="2">
        <f>J26</f>
        <v>140</v>
      </c>
      <c r="F7" s="2">
        <v>210</v>
      </c>
      <c r="G7" s="2">
        <f>J44+60</f>
        <v>100</v>
      </c>
      <c r="H7" s="2">
        <v>300</v>
      </c>
      <c r="I7" s="2">
        <f>J62</f>
        <v>85</v>
      </c>
      <c r="J7" s="55">
        <f>SUM(D7:I7)+J43</f>
        <v>945</v>
      </c>
      <c r="K7" s="2">
        <f t="shared" si="1"/>
        <v>34.440000000000055</v>
      </c>
      <c r="L7" s="55">
        <f t="shared" si="2"/>
        <v>1638.88</v>
      </c>
      <c r="M7">
        <f t="shared" si="3"/>
        <v>659.44</v>
      </c>
      <c r="N7">
        <f>(J7-F7-J43-D7-H7)/4</f>
        <v>81.25</v>
      </c>
      <c r="O7">
        <f>J43+O6</f>
        <v>110</v>
      </c>
      <c r="P7">
        <f>P6+J61</f>
        <v>140</v>
      </c>
      <c r="Q7">
        <f>Q6+J60</f>
        <v>250</v>
      </c>
      <c r="R7" s="71">
        <f t="shared" si="4"/>
        <v>2138.88</v>
      </c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</row>
    <row r="8" spans="1:49" x14ac:dyDescent="0.25">
      <c r="A8" s="74"/>
      <c r="B8" s="59" t="s">
        <v>21</v>
      </c>
      <c r="C8" s="2">
        <f>C68</f>
        <v>979.44</v>
      </c>
      <c r="D8" s="2">
        <f>D44+8</f>
        <v>57</v>
      </c>
      <c r="E8" s="2">
        <f>J26</f>
        <v>140</v>
      </c>
      <c r="F8" s="2">
        <v>0</v>
      </c>
      <c r="G8" s="2">
        <f>J44</f>
        <v>40</v>
      </c>
      <c r="H8" s="2">
        <v>0</v>
      </c>
      <c r="I8" s="2">
        <f>J62</f>
        <v>85</v>
      </c>
      <c r="J8" s="55">
        <f>SUM(D8:I8)+J43</f>
        <v>377</v>
      </c>
      <c r="K8" s="2">
        <f t="shared" si="1"/>
        <v>602.44000000000005</v>
      </c>
      <c r="L8" s="55">
        <f t="shared" si="2"/>
        <v>2241.3200000000002</v>
      </c>
      <c r="M8">
        <f t="shared" si="3"/>
        <v>1261.8800000000001</v>
      </c>
      <c r="N8">
        <f>(J8-F8-J43-H8)/4</f>
        <v>80.5</v>
      </c>
      <c r="O8">
        <f>J43+O7</f>
        <v>165</v>
      </c>
      <c r="P8">
        <f>P7+J61</f>
        <v>160</v>
      </c>
      <c r="Q8">
        <f>Q7+J60</f>
        <v>275</v>
      </c>
      <c r="R8" s="71">
        <f t="shared" si="4"/>
        <v>2841.32</v>
      </c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  <c r="AI8" s="74"/>
      <c r="AJ8" s="74"/>
      <c r="AK8" s="74"/>
      <c r="AL8" s="74"/>
      <c r="AM8" s="74"/>
      <c r="AN8" s="74"/>
      <c r="AO8" s="74"/>
      <c r="AP8" s="74"/>
      <c r="AQ8" s="74"/>
      <c r="AR8" s="74"/>
      <c r="AS8" s="74"/>
      <c r="AT8" s="74"/>
      <c r="AU8" s="74"/>
      <c r="AV8" s="74"/>
      <c r="AW8" s="74"/>
    </row>
    <row r="9" spans="1:49" x14ac:dyDescent="0.25">
      <c r="A9" s="74"/>
      <c r="B9" s="59" t="s">
        <v>22</v>
      </c>
      <c r="C9" s="2">
        <f>C68</f>
        <v>979.44</v>
      </c>
      <c r="D9" s="2">
        <f>D44+8</f>
        <v>57</v>
      </c>
      <c r="E9" s="2">
        <f>J26</f>
        <v>140</v>
      </c>
      <c r="F9" s="2">
        <v>0</v>
      </c>
      <c r="G9" s="2">
        <f>J44+80</f>
        <v>120</v>
      </c>
      <c r="H9" s="2">
        <v>50</v>
      </c>
      <c r="I9" s="2">
        <f>J62</f>
        <v>85</v>
      </c>
      <c r="J9" s="55">
        <f>SUM(D9:I9)+J43</f>
        <v>507</v>
      </c>
      <c r="K9" s="2">
        <f t="shared" si="1"/>
        <v>472.44000000000005</v>
      </c>
      <c r="L9" s="55">
        <f t="shared" si="2"/>
        <v>2713.76</v>
      </c>
      <c r="M9">
        <f t="shared" si="3"/>
        <v>1734.3200000000002</v>
      </c>
      <c r="N9">
        <f>(J9-F9-J43-D8-H9)/4</f>
        <v>86.25</v>
      </c>
      <c r="O9">
        <f>J43+O8</f>
        <v>220</v>
      </c>
      <c r="P9">
        <f>P8+J61</f>
        <v>180</v>
      </c>
      <c r="Q9">
        <f>Q8+J60</f>
        <v>300</v>
      </c>
      <c r="R9" s="71">
        <f t="shared" si="4"/>
        <v>3413.76</v>
      </c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</row>
    <row r="10" spans="1:49" ht="16.5" customHeight="1" thickBot="1" x14ac:dyDescent="0.3">
      <c r="A10" s="74"/>
      <c r="B10" s="59" t="s">
        <v>23</v>
      </c>
      <c r="C10" s="2">
        <f>C68</f>
        <v>979.44</v>
      </c>
      <c r="D10" s="2">
        <f>D44+8</f>
        <v>57</v>
      </c>
      <c r="E10" s="2">
        <f>J26</f>
        <v>140</v>
      </c>
      <c r="F10" s="2">
        <v>0</v>
      </c>
      <c r="G10" s="2">
        <v>50</v>
      </c>
      <c r="H10" s="2">
        <v>100</v>
      </c>
      <c r="I10" s="2">
        <f>J62</f>
        <v>85</v>
      </c>
      <c r="J10" s="55">
        <f>SUM(D10:I10)+J43</f>
        <v>487</v>
      </c>
      <c r="K10" s="2">
        <f t="shared" si="1"/>
        <v>492.44000000000005</v>
      </c>
      <c r="L10" s="55">
        <f t="shared" si="2"/>
        <v>3206.2000000000003</v>
      </c>
      <c r="M10">
        <f t="shared" si="3"/>
        <v>2226.7600000000002</v>
      </c>
      <c r="N10">
        <f>(J10-F10-J43-D9-H10)/4</f>
        <v>68.75</v>
      </c>
      <c r="O10">
        <f>J43+O9</f>
        <v>275</v>
      </c>
      <c r="P10">
        <f>P9+J61</f>
        <v>200</v>
      </c>
      <c r="Q10">
        <f>Q9+J60</f>
        <v>325</v>
      </c>
      <c r="R10" s="71">
        <f t="shared" si="4"/>
        <v>4006.2000000000003</v>
      </c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4"/>
      <c r="AQ10" s="74"/>
      <c r="AR10" s="74"/>
      <c r="AS10" s="74"/>
      <c r="AT10" s="74"/>
      <c r="AU10" s="74"/>
      <c r="AV10" s="74"/>
      <c r="AW10" s="74"/>
    </row>
    <row r="11" spans="1:49" ht="15.75" customHeight="1" thickBot="1" x14ac:dyDescent="0.3">
      <c r="A11" s="74"/>
      <c r="B11" s="62" t="s">
        <v>24</v>
      </c>
      <c r="C11" s="63">
        <f>C68</f>
        <v>979.44</v>
      </c>
      <c r="D11" s="63">
        <f>D44+8</f>
        <v>57</v>
      </c>
      <c r="E11" s="63">
        <f>J26</f>
        <v>140</v>
      </c>
      <c r="F11" s="63">
        <v>0</v>
      </c>
      <c r="G11" s="63">
        <f>J44</f>
        <v>40</v>
      </c>
      <c r="H11" s="63">
        <v>0</v>
      </c>
      <c r="I11" s="63">
        <f>J62</f>
        <v>85</v>
      </c>
      <c r="J11" s="64">
        <f>SUM(D11:I11)+J43</f>
        <v>377</v>
      </c>
      <c r="K11" s="63">
        <f t="shared" si="1"/>
        <v>602.44000000000005</v>
      </c>
      <c r="L11" s="65">
        <f>M11+C11</f>
        <v>3808.6400000000003</v>
      </c>
      <c r="M11" s="66">
        <f t="shared" si="3"/>
        <v>2829.2000000000003</v>
      </c>
      <c r="N11" s="66">
        <f>(J11-F11-J43-H11)/4</f>
        <v>80.5</v>
      </c>
      <c r="O11" s="66">
        <f>J43+O10</f>
        <v>330</v>
      </c>
      <c r="P11" s="66">
        <f>P10+J61</f>
        <v>220</v>
      </c>
      <c r="Q11" s="66">
        <f>Q10+J60</f>
        <v>350</v>
      </c>
      <c r="R11" s="72">
        <f>L11+P11+O11+Q11</f>
        <v>4708.6400000000003</v>
      </c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</row>
    <row r="12" spans="1:49" x14ac:dyDescent="0.25">
      <c r="A12" s="74"/>
      <c r="B12" s="2"/>
      <c r="C12" s="1" t="s">
        <v>25</v>
      </c>
      <c r="D12" s="75"/>
      <c r="E12" s="75"/>
      <c r="F12" s="78" t="s">
        <v>26</v>
      </c>
      <c r="G12" s="78"/>
      <c r="H12" s="78"/>
      <c r="I12" s="75"/>
      <c r="J12" s="75"/>
      <c r="K12" s="75"/>
      <c r="L12" s="1" t="s">
        <v>27</v>
      </c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4"/>
      <c r="AU12" s="74"/>
      <c r="AV12" s="74"/>
      <c r="AW12" s="74"/>
    </row>
    <row r="13" spans="1:49" ht="15.75" customHeight="1" x14ac:dyDescent="0.25">
      <c r="A13" s="74"/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94" t="s">
        <v>28</v>
      </c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4"/>
      <c r="AQ13" s="74"/>
      <c r="AR13" s="74"/>
      <c r="AS13" s="74"/>
      <c r="AT13" s="74"/>
      <c r="AU13" s="74"/>
      <c r="AV13" s="74"/>
      <c r="AW13" s="74"/>
    </row>
    <row r="14" spans="1:49" ht="20.25" customHeight="1" x14ac:dyDescent="0.3">
      <c r="A14" s="74"/>
      <c r="B14" s="79" t="s">
        <v>29</v>
      </c>
      <c r="C14" s="80"/>
      <c r="D14" s="80"/>
      <c r="E14" s="81"/>
      <c r="F14" s="85"/>
      <c r="G14" s="86"/>
      <c r="H14" s="79" t="s">
        <v>4</v>
      </c>
      <c r="I14" s="80"/>
      <c r="J14" s="81"/>
      <c r="K14" s="85"/>
      <c r="L14" s="9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74"/>
      <c r="AW14" s="74"/>
    </row>
    <row r="15" spans="1:49" ht="15" customHeight="1" x14ac:dyDescent="0.25">
      <c r="A15" s="74"/>
      <c r="B15" s="3" t="s">
        <v>30</v>
      </c>
      <c r="C15" s="4" t="s">
        <v>31</v>
      </c>
      <c r="D15" s="4" t="s">
        <v>32</v>
      </c>
      <c r="E15" s="5" t="s">
        <v>33</v>
      </c>
      <c r="F15" s="85"/>
      <c r="G15" s="86"/>
      <c r="H15" s="3" t="s">
        <v>34</v>
      </c>
      <c r="I15" s="4" t="s">
        <v>35</v>
      </c>
      <c r="J15" s="5" t="s">
        <v>36</v>
      </c>
      <c r="K15" s="85"/>
      <c r="L15" s="9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</row>
    <row r="16" spans="1:49" ht="16.5" customHeight="1" x14ac:dyDescent="0.25">
      <c r="A16" s="74"/>
      <c r="B16" s="6" t="s">
        <v>37</v>
      </c>
      <c r="C16" s="2">
        <v>210</v>
      </c>
      <c r="D16" s="2" t="s">
        <v>38</v>
      </c>
      <c r="E16" s="7" t="str" cm="1">
        <f t="array" ref="E16">IFERROR(
  INDEX(
    _xlfn._xlws.FILTER($B$4:$B$11, ($M$4:$M$11&gt;=MAX(600,C16))*($K$4:$K$11&gt;=350)),
  1),
"—")</f>
        <v>November 2025</v>
      </c>
      <c r="F16" s="85"/>
      <c r="G16" s="86"/>
      <c r="H16" s="6" t="s">
        <v>39</v>
      </c>
      <c r="I16" t="s">
        <v>40</v>
      </c>
      <c r="J16" s="7">
        <v>80</v>
      </c>
      <c r="K16" s="75"/>
      <c r="L16" s="75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4"/>
      <c r="AQ16" s="74"/>
      <c r="AR16" s="74"/>
      <c r="AS16" s="74"/>
      <c r="AT16" s="74"/>
      <c r="AU16" s="74"/>
      <c r="AV16" s="74"/>
      <c r="AW16" s="74"/>
    </row>
    <row r="17" spans="1:49" ht="17.25" customHeight="1" x14ac:dyDescent="0.25">
      <c r="A17" s="74"/>
      <c r="B17" s="6" t="s">
        <v>41</v>
      </c>
      <c r="C17" s="2">
        <v>1250</v>
      </c>
      <c r="D17" s="2" t="s">
        <v>42</v>
      </c>
      <c r="E17" s="7" t="str" cm="1">
        <f t="array" ref="E17">IFERROR(
  INDEX(
    _xlfn._xlws.FILTER($B$4:$B$11, ($M$4:$M$11&gt;=MAX(600,C17))*($K$4:$K$11&gt;=350)),
  1),
"—")</f>
        <v>January 2026</v>
      </c>
      <c r="F17" s="85"/>
      <c r="G17" s="86"/>
      <c r="H17" s="6" t="s">
        <v>39</v>
      </c>
      <c r="I17" s="25" t="s">
        <v>43</v>
      </c>
      <c r="J17" s="7">
        <v>60</v>
      </c>
      <c r="K17" s="75"/>
      <c r="L17" s="75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4"/>
      <c r="AQ17" s="74"/>
      <c r="AR17" s="74"/>
      <c r="AS17" s="74"/>
      <c r="AT17" s="74"/>
      <c r="AU17" s="74"/>
      <c r="AV17" s="74"/>
      <c r="AW17" s="74"/>
    </row>
    <row r="18" spans="1:49" ht="16.5" customHeight="1" x14ac:dyDescent="0.25">
      <c r="A18" s="74"/>
      <c r="B18" s="6" t="s">
        <v>44</v>
      </c>
      <c r="C18" s="2">
        <v>1450</v>
      </c>
      <c r="D18" s="2" t="s">
        <v>45</v>
      </c>
      <c r="E18" s="7" t="str" cm="1">
        <f t="array" ref="E18">IFERROR(
  INDEX(
    _xlfn._xlws.FILTER($B$4:$B$11, ($M$4:$M$11&gt;=MAX(600,C18))*($K$4:$K$11&gt;=400)),
  1),
"—")</f>
        <v>February 2026</v>
      </c>
      <c r="F18" s="85"/>
      <c r="G18" s="86"/>
      <c r="H18" s="6"/>
      <c r="I18" s="2"/>
      <c r="J18" s="7"/>
      <c r="K18" s="75"/>
      <c r="L18" s="75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74"/>
      <c r="AU18" s="74"/>
      <c r="AV18" s="74"/>
      <c r="AW18" s="74"/>
    </row>
    <row r="19" spans="1:49" ht="14.25" customHeight="1" x14ac:dyDescent="0.25">
      <c r="A19" s="74"/>
      <c r="B19" s="6" t="s">
        <v>46</v>
      </c>
      <c r="C19" s="2">
        <v>250</v>
      </c>
      <c r="D19" s="2" t="s">
        <v>47</v>
      </c>
      <c r="E19" s="7" t="str" cm="1">
        <f t="array" ref="E19">IFERROR(
  INDEX(
    _xlfn._xlws.FILTER($B$4:$B$11, ($M$4:$M$11&gt;=MAX(600,C19))*($K$4:$K$11&gt;=400)),
  1),
"—")</f>
        <v>November 2025</v>
      </c>
      <c r="F19" s="85"/>
      <c r="G19" s="86"/>
      <c r="H19" s="6"/>
      <c r="I19" s="2"/>
      <c r="J19" s="7"/>
      <c r="K19" s="75"/>
      <c r="L19" s="75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4"/>
      <c r="AQ19" s="74"/>
      <c r="AR19" s="74"/>
      <c r="AS19" s="74"/>
      <c r="AT19" s="74"/>
      <c r="AU19" s="74"/>
      <c r="AV19" s="74"/>
      <c r="AW19" s="74"/>
    </row>
    <row r="20" spans="1:49" ht="15.75" customHeight="1" x14ac:dyDescent="0.25">
      <c r="A20" s="74"/>
      <c r="B20" s="6" t="s">
        <v>48</v>
      </c>
      <c r="C20" s="2">
        <v>1700</v>
      </c>
      <c r="D20" s="2" t="s">
        <v>45</v>
      </c>
      <c r="E20" s="7" t="str" cm="1">
        <f t="array" ref="E20">IFERROR(
  INDEX(
    _xlfn._xlws.FILTER($B$4:$B$11, ($M$4:$M$11&gt;=MAX(600,C20))*($K$4:$K$11&gt;=400)),
  1),
"—")</f>
        <v>February 2026</v>
      </c>
      <c r="F20" s="85"/>
      <c r="G20" s="86"/>
      <c r="H20" s="6"/>
      <c r="I20" s="2"/>
      <c r="J20" s="7"/>
      <c r="K20" s="75"/>
      <c r="L20" s="75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74"/>
      <c r="AO20" s="74"/>
      <c r="AP20" s="74"/>
      <c r="AQ20" s="74"/>
      <c r="AR20" s="74"/>
      <c r="AS20" s="74"/>
      <c r="AT20" s="74"/>
      <c r="AU20" s="74"/>
      <c r="AV20" s="74"/>
      <c r="AW20" s="74"/>
    </row>
    <row r="21" spans="1:49" ht="16.5" customHeight="1" x14ac:dyDescent="0.25">
      <c r="A21" s="74"/>
      <c r="B21" s="6" t="s">
        <v>49</v>
      </c>
      <c r="C21" s="2">
        <v>450</v>
      </c>
      <c r="D21" s="2" t="s">
        <v>45</v>
      </c>
      <c r="E21" s="7" t="str" cm="1">
        <f t="array" ref="E21">IFERROR(
  INDEX(
    _xlfn._xlws.FILTER($B$4:$B$11, ($M$4:$M$11&gt;=MAX(600,C21))*($K$4:$K$11&gt;=400)),
  1),
"—")</f>
        <v>November 2025</v>
      </c>
      <c r="F21" s="85"/>
      <c r="G21" s="86"/>
      <c r="H21" s="6"/>
      <c r="I21" s="2"/>
      <c r="J21" s="7"/>
      <c r="K21" s="75"/>
      <c r="L21" s="75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/>
      <c r="AN21" s="74"/>
      <c r="AO21" s="74"/>
      <c r="AP21" s="74"/>
      <c r="AQ21" s="74"/>
      <c r="AR21" s="74"/>
      <c r="AS21" s="74"/>
      <c r="AT21" s="74"/>
      <c r="AU21" s="74"/>
      <c r="AV21" s="74"/>
      <c r="AW21" s="74"/>
    </row>
    <row r="22" spans="1:49" ht="17.25" customHeight="1" x14ac:dyDescent="0.25">
      <c r="A22" s="74"/>
      <c r="B22" s="6" t="s">
        <v>50</v>
      </c>
      <c r="C22" s="2">
        <v>120</v>
      </c>
      <c r="D22" s="2" t="s">
        <v>45</v>
      </c>
      <c r="E22" s="7" t="str" cm="1">
        <f t="array" ref="E22">IFERROR(
  INDEX(
    _xlfn._xlws.FILTER($B$4:$B$11, ($M$4:$M$11&gt;=MAX(600,C22))*($K$4:$K$11&gt;=400)),
  1),
"—")</f>
        <v>November 2025</v>
      </c>
      <c r="F22" s="85"/>
      <c r="G22" s="86"/>
      <c r="H22" s="6"/>
      <c r="I22" s="2"/>
      <c r="J22" s="7"/>
      <c r="K22" s="75"/>
      <c r="L22" s="75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4"/>
      <c r="AQ22" s="74"/>
      <c r="AR22" s="74"/>
      <c r="AS22" s="74"/>
      <c r="AT22" s="74"/>
      <c r="AU22" s="74"/>
      <c r="AV22" s="74"/>
      <c r="AW22" s="74"/>
    </row>
    <row r="23" spans="1:49" ht="17.25" customHeight="1" x14ac:dyDescent="0.25">
      <c r="A23" s="74"/>
      <c r="B23" s="6" t="s">
        <v>51</v>
      </c>
      <c r="C23" s="2">
        <v>70</v>
      </c>
      <c r="D23" s="2" t="s">
        <v>52</v>
      </c>
      <c r="E23" s="7" t="str" cm="1">
        <f t="array" ref="E23">IFERROR(
  INDEX(
    _xlfn._xlws.FILTER($B$4:$B$11, ($M$4:$M$11&gt;=MAX(600,C23))*($K$4:$K$11&gt;=400)),
  1),
"—")</f>
        <v>November 2025</v>
      </c>
      <c r="F23" s="85"/>
      <c r="G23" s="86"/>
      <c r="H23" s="6"/>
      <c r="I23" s="2"/>
      <c r="J23" s="7"/>
      <c r="K23" s="75"/>
      <c r="L23" s="75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/>
      <c r="AN23" s="74"/>
      <c r="AO23" s="74"/>
      <c r="AP23" s="74"/>
      <c r="AQ23" s="74"/>
      <c r="AR23" s="74"/>
      <c r="AS23" s="74"/>
      <c r="AT23" s="74"/>
      <c r="AU23" s="74"/>
      <c r="AV23" s="74"/>
      <c r="AW23" s="74"/>
    </row>
    <row r="24" spans="1:49" ht="18.75" customHeight="1" x14ac:dyDescent="0.25">
      <c r="A24" s="74"/>
      <c r="B24" s="6" t="s">
        <v>53</v>
      </c>
      <c r="C24" s="2">
        <v>120</v>
      </c>
      <c r="D24" s="2" t="s">
        <v>54</v>
      </c>
      <c r="E24" s="7" t="str" cm="1">
        <f t="array" ref="E24">IFERROR(
  INDEX(
    _xlfn._xlws.FILTER($B$4:$B$11, ($M$4:$M$11&gt;=MAX(600,C24))*($K$4:$K$11&gt;=350)),
  1),
"—")</f>
        <v>November 2025</v>
      </c>
      <c r="F24" s="85"/>
      <c r="G24" s="86"/>
      <c r="H24" s="6"/>
      <c r="I24" s="2"/>
      <c r="J24" s="7"/>
      <c r="K24" s="75"/>
      <c r="L24" s="75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/>
      <c r="AN24" s="74"/>
      <c r="AO24" s="74"/>
      <c r="AP24" s="74"/>
      <c r="AQ24" s="74"/>
      <c r="AR24" s="74"/>
      <c r="AS24" s="74"/>
      <c r="AT24" s="74"/>
      <c r="AU24" s="74"/>
      <c r="AV24" s="74"/>
      <c r="AW24" s="74"/>
    </row>
    <row r="25" spans="1:49" ht="15.75" customHeight="1" x14ac:dyDescent="0.25">
      <c r="A25" s="74"/>
      <c r="B25" s="6" t="s">
        <v>55</v>
      </c>
      <c r="C25" s="2">
        <v>200</v>
      </c>
      <c r="D25" s="2" t="s">
        <v>54</v>
      </c>
      <c r="E25" s="7" t="str" cm="1">
        <f t="array" ref="E25">IFERROR(
  INDEX(
    _xlfn._xlws.FILTER($B$4:$B$11, ($M$4:$M$11&gt;=MAX(600,C25))*($K$4:$K$11&gt;=350)),
  1),
"—")</f>
        <v>November 2025</v>
      </c>
      <c r="F25" s="85"/>
      <c r="G25" s="86"/>
      <c r="H25" s="6"/>
      <c r="I25" s="2"/>
      <c r="J25" s="7"/>
      <c r="K25" s="75"/>
      <c r="L25" s="75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74"/>
      <c r="AO25" s="74"/>
      <c r="AP25" s="74"/>
      <c r="AQ25" s="74"/>
      <c r="AR25" s="74"/>
      <c r="AS25" s="74"/>
      <c r="AT25" s="74"/>
      <c r="AU25" s="74"/>
      <c r="AV25" s="74"/>
      <c r="AW25" s="74"/>
    </row>
    <row r="26" spans="1:49" ht="15.75" customHeight="1" x14ac:dyDescent="0.25">
      <c r="A26" s="74"/>
      <c r="B26" s="8" t="s">
        <v>56</v>
      </c>
      <c r="C26" s="17"/>
      <c r="D26" s="17"/>
      <c r="E26" s="18">
        <f>SUM(C16:C25)</f>
        <v>5820</v>
      </c>
      <c r="F26" s="85"/>
      <c r="G26" s="86"/>
      <c r="H26" s="8" t="s">
        <v>56</v>
      </c>
      <c r="I26" s="19"/>
      <c r="J26" s="20">
        <f>SUM(J16:J25)</f>
        <v>140</v>
      </c>
      <c r="K26" s="75"/>
      <c r="L26" s="75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4"/>
      <c r="AM26" s="74"/>
      <c r="AN26" s="74"/>
      <c r="AO26" s="74"/>
      <c r="AP26" s="74"/>
      <c r="AQ26" s="74"/>
      <c r="AR26" s="74"/>
      <c r="AS26" s="74"/>
      <c r="AT26" s="74"/>
      <c r="AU26" s="74"/>
      <c r="AV26" s="74"/>
      <c r="AW26" s="74"/>
    </row>
    <row r="27" spans="1:49" ht="15.75" customHeight="1" x14ac:dyDescent="0.25">
      <c r="A27" s="74"/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4"/>
      <c r="AQ27" s="74"/>
      <c r="AR27" s="74"/>
      <c r="AS27" s="74"/>
      <c r="AT27" s="74"/>
      <c r="AU27" s="74"/>
      <c r="AV27" s="74"/>
      <c r="AW27" s="74"/>
    </row>
    <row r="28" spans="1:49" ht="19.5" customHeight="1" x14ac:dyDescent="0.3">
      <c r="A28" s="74"/>
      <c r="B28" s="82" t="s">
        <v>3</v>
      </c>
      <c r="C28" s="83"/>
      <c r="D28" s="84"/>
      <c r="E28" s="75"/>
      <c r="F28" s="75"/>
      <c r="G28" s="75"/>
      <c r="H28" s="79" t="s">
        <v>6</v>
      </c>
      <c r="I28" s="80"/>
      <c r="J28" s="81"/>
      <c r="K28" s="75"/>
      <c r="L28" s="75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4"/>
      <c r="AQ28" s="74"/>
      <c r="AR28" s="74"/>
      <c r="AS28" s="74"/>
      <c r="AT28" s="74"/>
      <c r="AU28" s="74"/>
      <c r="AV28" s="74"/>
      <c r="AW28" s="74"/>
    </row>
    <row r="29" spans="1:49" x14ac:dyDescent="0.25">
      <c r="A29" s="74"/>
      <c r="B29" s="3" t="s">
        <v>57</v>
      </c>
      <c r="C29" s="4" t="s">
        <v>58</v>
      </c>
      <c r="D29" s="5" t="s">
        <v>36</v>
      </c>
      <c r="E29" s="75"/>
      <c r="F29" s="75"/>
      <c r="G29" s="75"/>
      <c r="H29" s="3" t="s">
        <v>34</v>
      </c>
      <c r="I29" s="4" t="s">
        <v>35</v>
      </c>
      <c r="J29" s="5" t="s">
        <v>36</v>
      </c>
      <c r="K29" s="75"/>
      <c r="L29" s="75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74"/>
      <c r="AP29" s="74"/>
      <c r="AQ29" s="74"/>
      <c r="AR29" s="74"/>
      <c r="AS29" s="74"/>
      <c r="AT29" s="74"/>
      <c r="AU29" s="74"/>
      <c r="AV29" s="74"/>
      <c r="AW29" s="74"/>
    </row>
    <row r="30" spans="1:49" x14ac:dyDescent="0.25">
      <c r="A30" s="74"/>
      <c r="B30" s="6" t="s">
        <v>59</v>
      </c>
      <c r="C30" s="2">
        <v>26</v>
      </c>
      <c r="D30" s="7">
        <v>2</v>
      </c>
      <c r="E30" s="75"/>
      <c r="F30" s="75"/>
      <c r="G30" s="75"/>
      <c r="H30" s="6" t="s">
        <v>39</v>
      </c>
      <c r="I30" s="2" t="s">
        <v>60</v>
      </c>
      <c r="J30" s="7">
        <v>20</v>
      </c>
      <c r="K30" s="75"/>
      <c r="L30" s="75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74"/>
      <c r="AP30" s="74"/>
      <c r="AQ30" s="74"/>
      <c r="AR30" s="74"/>
      <c r="AS30" s="74"/>
      <c r="AT30" s="74"/>
      <c r="AU30" s="74"/>
      <c r="AV30" s="74"/>
      <c r="AW30" s="74"/>
    </row>
    <row r="31" spans="1:49" x14ac:dyDescent="0.25">
      <c r="A31" s="74"/>
      <c r="B31" s="6" t="s">
        <v>61</v>
      </c>
      <c r="C31" s="2">
        <v>29</v>
      </c>
      <c r="D31" s="7">
        <v>25</v>
      </c>
      <c r="E31" s="75"/>
      <c r="F31" s="75"/>
      <c r="G31" s="75"/>
      <c r="H31" s="6" t="s">
        <v>17</v>
      </c>
      <c r="I31" s="2" t="s">
        <v>6</v>
      </c>
      <c r="J31" s="7">
        <v>20</v>
      </c>
      <c r="K31" s="75"/>
      <c r="L31" s="75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/>
      <c r="AN31" s="74"/>
      <c r="AO31" s="74"/>
      <c r="AP31" s="74"/>
      <c r="AQ31" s="74"/>
      <c r="AR31" s="74"/>
      <c r="AS31" s="74"/>
      <c r="AT31" s="74"/>
      <c r="AU31" s="74"/>
      <c r="AV31" s="74"/>
      <c r="AW31" s="74"/>
    </row>
    <row r="32" spans="1:49" x14ac:dyDescent="0.25">
      <c r="A32" s="74"/>
      <c r="B32" s="6" t="s">
        <v>62</v>
      </c>
      <c r="C32" s="2">
        <v>4</v>
      </c>
      <c r="D32" s="7">
        <v>2</v>
      </c>
      <c r="E32" s="75"/>
      <c r="F32" s="75"/>
      <c r="G32" s="75"/>
      <c r="H32" s="6"/>
      <c r="I32" s="2"/>
      <c r="J32" s="7"/>
      <c r="K32" s="75"/>
      <c r="L32" s="75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/>
      <c r="AN32" s="74"/>
      <c r="AO32" s="74"/>
      <c r="AP32" s="74"/>
      <c r="AQ32" s="74"/>
      <c r="AR32" s="74"/>
      <c r="AS32" s="74"/>
      <c r="AT32" s="74"/>
      <c r="AU32" s="74"/>
      <c r="AV32" s="74"/>
      <c r="AW32" s="74"/>
    </row>
    <row r="33" spans="1:49" x14ac:dyDescent="0.25">
      <c r="A33" s="74"/>
      <c r="B33" s="6" t="s">
        <v>63</v>
      </c>
      <c r="C33" s="2">
        <v>16</v>
      </c>
      <c r="D33" s="7">
        <v>10</v>
      </c>
      <c r="E33" s="75"/>
      <c r="F33" s="75"/>
      <c r="G33" s="75"/>
      <c r="H33" s="6"/>
      <c r="I33" s="2"/>
      <c r="J33" s="7"/>
      <c r="K33" s="75"/>
      <c r="L33" s="75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74"/>
      <c r="AL33" s="74"/>
      <c r="AM33" s="74"/>
      <c r="AN33" s="74"/>
      <c r="AO33" s="74"/>
      <c r="AP33" s="74"/>
      <c r="AQ33" s="74"/>
      <c r="AR33" s="74"/>
      <c r="AS33" s="74"/>
      <c r="AT33" s="74"/>
      <c r="AU33" s="74"/>
      <c r="AV33" s="74"/>
      <c r="AW33" s="74"/>
    </row>
    <row r="34" spans="1:49" x14ac:dyDescent="0.25">
      <c r="A34" s="74"/>
      <c r="B34" s="6" t="s">
        <v>64</v>
      </c>
      <c r="C34" s="2">
        <v>17</v>
      </c>
      <c r="D34" s="7">
        <v>10</v>
      </c>
      <c r="E34" s="75"/>
      <c r="F34" s="75"/>
      <c r="G34" s="75"/>
      <c r="H34" s="6"/>
      <c r="I34" s="2"/>
      <c r="J34" s="7"/>
      <c r="K34" s="75"/>
      <c r="L34" s="75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  <c r="AR34" s="74"/>
      <c r="AS34" s="74"/>
      <c r="AT34" s="74"/>
      <c r="AU34" s="74"/>
      <c r="AV34" s="74"/>
      <c r="AW34" s="74"/>
    </row>
    <row r="35" spans="1:49" x14ac:dyDescent="0.25">
      <c r="A35" s="74"/>
      <c r="B35" s="6"/>
      <c r="C35" s="2"/>
      <c r="D35" s="7"/>
      <c r="E35" s="75"/>
      <c r="F35" s="75"/>
      <c r="G35" s="75"/>
      <c r="H35" s="6"/>
      <c r="I35" s="2"/>
      <c r="J35" s="7"/>
      <c r="K35" s="75"/>
      <c r="L35" s="75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74"/>
      <c r="AO35" s="74"/>
      <c r="AP35" s="74"/>
      <c r="AQ35" s="74"/>
      <c r="AR35" s="74"/>
      <c r="AS35" s="74"/>
      <c r="AT35" s="74"/>
      <c r="AU35" s="74"/>
      <c r="AV35" s="74"/>
      <c r="AW35" s="74"/>
    </row>
    <row r="36" spans="1:49" x14ac:dyDescent="0.25">
      <c r="A36" s="74"/>
      <c r="B36" s="6"/>
      <c r="C36" s="2"/>
      <c r="D36" s="7"/>
      <c r="E36" s="75"/>
      <c r="F36" s="75"/>
      <c r="G36" s="75"/>
      <c r="H36" s="6"/>
      <c r="I36" s="2"/>
      <c r="J36" s="7"/>
      <c r="K36" s="75"/>
      <c r="L36" s="75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/>
      <c r="AN36" s="74"/>
      <c r="AO36" s="74"/>
      <c r="AP36" s="74"/>
      <c r="AQ36" s="74"/>
      <c r="AR36" s="74"/>
      <c r="AS36" s="74"/>
      <c r="AT36" s="74"/>
      <c r="AU36" s="74"/>
      <c r="AV36" s="74"/>
      <c r="AW36" s="74"/>
    </row>
    <row r="37" spans="1:49" x14ac:dyDescent="0.25">
      <c r="A37" s="74"/>
      <c r="B37" s="6"/>
      <c r="C37" s="2"/>
      <c r="D37" s="7"/>
      <c r="E37" s="75"/>
      <c r="F37" s="75"/>
      <c r="G37" s="75"/>
      <c r="H37" s="6"/>
      <c r="I37" s="2"/>
      <c r="J37" s="7"/>
      <c r="K37" s="75"/>
      <c r="L37" s="75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/>
      <c r="AN37" s="74"/>
      <c r="AO37" s="74"/>
      <c r="AP37" s="74"/>
      <c r="AQ37" s="74"/>
      <c r="AR37" s="74"/>
      <c r="AS37" s="74"/>
      <c r="AT37" s="74"/>
      <c r="AU37" s="74"/>
      <c r="AV37" s="74"/>
      <c r="AW37" s="74"/>
    </row>
    <row r="38" spans="1:49" x14ac:dyDescent="0.25">
      <c r="A38" s="74"/>
      <c r="B38" s="16"/>
      <c r="C38" s="2"/>
      <c r="D38" s="7"/>
      <c r="E38" s="75"/>
      <c r="F38" s="75"/>
      <c r="G38" s="75"/>
      <c r="H38" s="6"/>
      <c r="I38" s="2"/>
      <c r="J38" s="7"/>
      <c r="K38" s="75"/>
      <c r="L38" s="75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/>
      <c r="AN38" s="74"/>
      <c r="AO38" s="74"/>
      <c r="AP38" s="74"/>
      <c r="AQ38" s="74"/>
      <c r="AR38" s="74"/>
      <c r="AS38" s="74"/>
      <c r="AT38" s="74"/>
      <c r="AU38" s="74"/>
      <c r="AV38" s="74"/>
      <c r="AW38" s="74"/>
    </row>
    <row r="39" spans="1:49" ht="18.75" x14ac:dyDescent="0.3">
      <c r="A39" s="74"/>
      <c r="B39" s="9"/>
      <c r="C39" s="2"/>
      <c r="D39" s="7"/>
      <c r="E39" s="75"/>
      <c r="F39" s="75"/>
      <c r="G39" s="75"/>
      <c r="H39" s="6"/>
      <c r="I39" s="2"/>
      <c r="J39" s="7"/>
      <c r="K39" s="75"/>
      <c r="L39" s="75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/>
      <c r="AN39" s="74"/>
      <c r="AO39" s="74"/>
      <c r="AP39" s="74"/>
      <c r="AQ39" s="74"/>
      <c r="AR39" s="74"/>
      <c r="AS39" s="74"/>
      <c r="AT39" s="74"/>
      <c r="AU39" s="74"/>
      <c r="AV39" s="74"/>
      <c r="AW39" s="74"/>
    </row>
    <row r="40" spans="1:49" ht="18.75" x14ac:dyDescent="0.3">
      <c r="A40" s="74"/>
      <c r="B40" s="10"/>
      <c r="C40" s="38"/>
      <c r="D40" s="11"/>
      <c r="E40" s="75"/>
      <c r="F40" s="75"/>
      <c r="G40" s="75"/>
      <c r="H40" s="9"/>
      <c r="I40" s="2"/>
      <c r="J40" s="7"/>
      <c r="K40" s="75"/>
      <c r="L40" s="75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/>
      <c r="AN40" s="74"/>
      <c r="AO40" s="74"/>
      <c r="AP40" s="74"/>
      <c r="AQ40" s="74"/>
      <c r="AR40" s="74"/>
      <c r="AS40" s="74"/>
      <c r="AT40" s="74"/>
      <c r="AU40" s="74"/>
      <c r="AV40" s="74"/>
      <c r="AW40" s="74"/>
    </row>
    <row r="41" spans="1:49" x14ac:dyDescent="0.25">
      <c r="A41" s="74"/>
      <c r="B41" s="6"/>
      <c r="C41" s="2"/>
      <c r="D41" s="7"/>
      <c r="E41" s="75"/>
      <c r="F41" s="75"/>
      <c r="G41" s="75"/>
      <c r="H41" s="10"/>
      <c r="I41" s="38"/>
      <c r="J41" s="11"/>
      <c r="K41" s="75"/>
      <c r="L41" s="75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4"/>
      <c r="AC41" s="74"/>
      <c r="AD41" s="74"/>
      <c r="AE41" s="74"/>
      <c r="AF41" s="74"/>
      <c r="AG41" s="74"/>
      <c r="AH41" s="74"/>
      <c r="AI41" s="74"/>
      <c r="AJ41" s="74"/>
      <c r="AK41" s="74"/>
      <c r="AL41" s="74"/>
      <c r="AM41" s="74"/>
      <c r="AN41" s="74"/>
      <c r="AO41" s="74"/>
      <c r="AP41" s="74"/>
      <c r="AQ41" s="74"/>
      <c r="AR41" s="74"/>
      <c r="AS41" s="74"/>
      <c r="AT41" s="74"/>
      <c r="AU41" s="74"/>
      <c r="AV41" s="74"/>
      <c r="AW41" s="74"/>
    </row>
    <row r="42" spans="1:49" x14ac:dyDescent="0.25">
      <c r="A42" s="74"/>
      <c r="B42" s="6"/>
      <c r="C42" s="2"/>
      <c r="D42" s="7"/>
      <c r="E42" s="75"/>
      <c r="F42" s="75"/>
      <c r="G42" s="75"/>
      <c r="H42" s="6"/>
      <c r="I42" s="2"/>
      <c r="J42" s="7"/>
      <c r="K42" s="75"/>
      <c r="L42" s="75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  <c r="AJ42" s="74"/>
      <c r="AK42" s="74"/>
      <c r="AL42" s="74"/>
      <c r="AM42" s="74"/>
      <c r="AN42" s="74"/>
      <c r="AO42" s="74"/>
      <c r="AP42" s="74"/>
      <c r="AQ42" s="74"/>
      <c r="AR42" s="74"/>
      <c r="AS42" s="74"/>
      <c r="AT42" s="74"/>
      <c r="AU42" s="74"/>
      <c r="AV42" s="74"/>
      <c r="AW42" s="74"/>
    </row>
    <row r="43" spans="1:49" ht="15.75" customHeight="1" x14ac:dyDescent="0.25">
      <c r="A43" s="74"/>
      <c r="B43" s="6"/>
      <c r="C43" s="2"/>
      <c r="D43" s="7"/>
      <c r="E43" s="75"/>
      <c r="F43" s="75"/>
      <c r="G43" s="75"/>
      <c r="H43" s="29" t="s">
        <v>17</v>
      </c>
      <c r="I43" s="30" t="s">
        <v>14</v>
      </c>
      <c r="J43" s="31">
        <v>55</v>
      </c>
      <c r="K43" s="75"/>
      <c r="L43" s="75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/>
      <c r="AN43" s="74"/>
      <c r="AO43" s="74"/>
      <c r="AP43" s="74"/>
      <c r="AQ43" s="74"/>
      <c r="AR43" s="74"/>
      <c r="AS43" s="74"/>
      <c r="AT43" s="74"/>
      <c r="AU43" s="74"/>
      <c r="AV43" s="74"/>
      <c r="AW43" s="74"/>
    </row>
    <row r="44" spans="1:49" ht="15.75" customHeight="1" x14ac:dyDescent="0.25">
      <c r="A44" s="74"/>
      <c r="B44" s="8" t="s">
        <v>56</v>
      </c>
      <c r="C44" s="19"/>
      <c r="D44" s="20">
        <f>SUM(D30:D43)</f>
        <v>49</v>
      </c>
      <c r="E44" s="75"/>
      <c r="F44" s="75"/>
      <c r="G44" s="75"/>
      <c r="H44" s="8" t="s">
        <v>56</v>
      </c>
      <c r="I44" s="19"/>
      <c r="J44" s="20">
        <f>SUM(J30:J42)</f>
        <v>40</v>
      </c>
      <c r="K44" s="75"/>
      <c r="L44" s="75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/>
      <c r="AN44" s="74"/>
      <c r="AO44" s="74"/>
      <c r="AP44" s="74"/>
      <c r="AQ44" s="74"/>
      <c r="AR44" s="74"/>
      <c r="AS44" s="74"/>
      <c r="AT44" s="74"/>
      <c r="AU44" s="74"/>
      <c r="AV44" s="74"/>
      <c r="AW44" s="74"/>
    </row>
    <row r="45" spans="1:49" ht="15.75" customHeight="1" x14ac:dyDescent="0.25">
      <c r="A45" s="74"/>
      <c r="B45" s="90"/>
      <c r="C45" s="90"/>
      <c r="D45" s="90"/>
      <c r="E45" s="75"/>
      <c r="F45" s="75"/>
      <c r="G45" s="75"/>
      <c r="H45" s="90"/>
      <c r="I45" s="90"/>
      <c r="J45" s="90"/>
      <c r="K45" s="75"/>
      <c r="L45" s="75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/>
      <c r="AN45" s="74"/>
      <c r="AO45" s="74"/>
      <c r="AP45" s="74"/>
      <c r="AQ45" s="74"/>
      <c r="AR45" s="74"/>
      <c r="AS45" s="74"/>
      <c r="AT45" s="74"/>
      <c r="AU45" s="74"/>
      <c r="AV45" s="74"/>
      <c r="AW45" s="74"/>
    </row>
    <row r="46" spans="1:49" ht="18.75" x14ac:dyDescent="0.3">
      <c r="A46" s="74"/>
      <c r="B46" s="79" t="s">
        <v>7</v>
      </c>
      <c r="C46" s="80"/>
      <c r="D46" s="81"/>
      <c r="E46" s="75"/>
      <c r="F46" s="75"/>
      <c r="G46" s="75"/>
      <c r="H46" s="79" t="s">
        <v>8</v>
      </c>
      <c r="I46" s="80"/>
      <c r="J46" s="81"/>
      <c r="K46" s="75"/>
      <c r="L46" s="75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/>
      <c r="AN46" s="74"/>
      <c r="AO46" s="74"/>
      <c r="AP46" s="74"/>
      <c r="AQ46" s="74"/>
      <c r="AR46" s="74"/>
      <c r="AS46" s="74"/>
      <c r="AT46" s="74"/>
      <c r="AU46" s="74"/>
      <c r="AV46" s="74"/>
      <c r="AW46" s="74"/>
    </row>
    <row r="47" spans="1:49" x14ac:dyDescent="0.25">
      <c r="A47" s="74"/>
      <c r="B47" s="3" t="s">
        <v>34</v>
      </c>
      <c r="C47" s="4" t="s">
        <v>35</v>
      </c>
      <c r="D47" s="5" t="s">
        <v>36</v>
      </c>
      <c r="E47" s="75"/>
      <c r="F47" s="75"/>
      <c r="G47" s="75"/>
      <c r="H47" s="3" t="s">
        <v>34</v>
      </c>
      <c r="I47" s="4" t="s">
        <v>35</v>
      </c>
      <c r="J47" s="5" t="s">
        <v>36</v>
      </c>
      <c r="K47" s="75"/>
      <c r="L47" s="75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/>
      <c r="AN47" s="74"/>
      <c r="AO47" s="74"/>
      <c r="AP47" s="74"/>
      <c r="AQ47" s="74"/>
      <c r="AR47" s="74"/>
      <c r="AS47" s="74"/>
      <c r="AT47" s="74"/>
      <c r="AU47" s="74"/>
      <c r="AV47" s="74"/>
      <c r="AW47" s="74"/>
    </row>
    <row r="48" spans="1:49" x14ac:dyDescent="0.25">
      <c r="A48" s="74"/>
      <c r="B48" s="6" t="s">
        <v>65</v>
      </c>
      <c r="C48" s="2" t="s">
        <v>7</v>
      </c>
      <c r="D48" s="7">
        <v>300</v>
      </c>
      <c r="E48" s="75"/>
      <c r="F48" s="75"/>
      <c r="G48" s="75"/>
      <c r="H48" s="6" t="s">
        <v>17</v>
      </c>
      <c r="I48" s="2" t="s">
        <v>66</v>
      </c>
      <c r="J48" s="7">
        <v>40</v>
      </c>
      <c r="K48" s="75"/>
      <c r="L48" s="75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/>
      <c r="AN48" s="74"/>
      <c r="AO48" s="74"/>
      <c r="AP48" s="74"/>
      <c r="AQ48" s="74"/>
      <c r="AR48" s="74"/>
      <c r="AS48" s="74"/>
      <c r="AT48" s="74"/>
      <c r="AU48" s="74"/>
      <c r="AV48" s="74"/>
      <c r="AW48" s="74"/>
    </row>
    <row r="49" spans="1:49" x14ac:dyDescent="0.25">
      <c r="A49" s="74"/>
      <c r="B49" s="6"/>
      <c r="C49" s="2"/>
      <c r="D49" s="7"/>
      <c r="E49" s="75"/>
      <c r="F49" s="75"/>
      <c r="G49" s="75"/>
      <c r="H49" s="6"/>
      <c r="I49" s="2"/>
      <c r="J49" s="7"/>
      <c r="K49" s="75"/>
      <c r="L49" s="75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  <c r="AD49" s="74"/>
      <c r="AE49" s="74"/>
      <c r="AF49" s="74"/>
      <c r="AG49" s="74"/>
      <c r="AH49" s="74"/>
      <c r="AI49" s="74"/>
      <c r="AJ49" s="74"/>
      <c r="AK49" s="74"/>
      <c r="AL49" s="74"/>
      <c r="AM49" s="74"/>
      <c r="AN49" s="74"/>
      <c r="AO49" s="74"/>
      <c r="AP49" s="74"/>
      <c r="AQ49" s="74"/>
      <c r="AR49" s="74"/>
      <c r="AS49" s="74"/>
      <c r="AT49" s="74"/>
      <c r="AU49" s="74"/>
      <c r="AV49" s="74"/>
      <c r="AW49" s="74"/>
    </row>
    <row r="50" spans="1:49" ht="18.75" x14ac:dyDescent="0.3">
      <c r="A50" s="74"/>
      <c r="B50" s="9"/>
      <c r="C50" s="2"/>
      <c r="D50" s="7"/>
      <c r="E50" s="75"/>
      <c r="F50" s="75"/>
      <c r="G50" s="75"/>
      <c r="H50" s="6"/>
      <c r="I50" s="2"/>
      <c r="J50" s="7"/>
      <c r="K50" s="75"/>
      <c r="L50" s="75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</row>
    <row r="51" spans="1:49" x14ac:dyDescent="0.25">
      <c r="A51" s="74"/>
      <c r="B51" s="10"/>
      <c r="C51" s="38"/>
      <c r="D51" s="11"/>
      <c r="E51" s="75"/>
      <c r="F51" s="75"/>
      <c r="G51" s="75"/>
      <c r="H51" s="6"/>
      <c r="I51" s="2"/>
      <c r="J51" s="7"/>
      <c r="K51" s="75"/>
      <c r="L51" s="75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/>
      <c r="AN51" s="74"/>
      <c r="AO51" s="74"/>
      <c r="AP51" s="74"/>
      <c r="AQ51" s="74"/>
      <c r="AR51" s="74"/>
      <c r="AS51" s="74"/>
      <c r="AT51" s="74"/>
      <c r="AU51" s="74"/>
      <c r="AV51" s="74"/>
      <c r="AW51" s="74"/>
    </row>
    <row r="52" spans="1:49" x14ac:dyDescent="0.25">
      <c r="A52" s="74"/>
      <c r="B52" s="6"/>
      <c r="C52" s="2"/>
      <c r="D52" s="7"/>
      <c r="E52" s="75"/>
      <c r="F52" s="75"/>
      <c r="G52" s="75"/>
      <c r="H52" s="6"/>
      <c r="I52" s="2"/>
      <c r="J52" s="7"/>
      <c r="K52" s="75"/>
      <c r="L52" s="75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/>
      <c r="AN52" s="74"/>
      <c r="AO52" s="74"/>
      <c r="AP52" s="74"/>
      <c r="AQ52" s="74"/>
      <c r="AR52" s="74"/>
      <c r="AS52" s="74"/>
      <c r="AT52" s="74"/>
      <c r="AU52" s="74"/>
      <c r="AV52" s="74"/>
      <c r="AW52" s="74"/>
    </row>
    <row r="53" spans="1:49" x14ac:dyDescent="0.25">
      <c r="A53" s="74"/>
      <c r="B53" s="6"/>
      <c r="C53" s="2"/>
      <c r="D53" s="7"/>
      <c r="E53" s="75"/>
      <c r="F53" s="75"/>
      <c r="G53" s="75"/>
      <c r="H53" s="6"/>
      <c r="I53" s="2"/>
      <c r="J53" s="7"/>
      <c r="K53" s="75"/>
      <c r="L53" s="75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/>
      <c r="AN53" s="74"/>
      <c r="AO53" s="74"/>
      <c r="AP53" s="74"/>
      <c r="AQ53" s="74"/>
      <c r="AR53" s="74"/>
      <c r="AS53" s="74"/>
      <c r="AT53" s="74"/>
      <c r="AU53" s="74"/>
      <c r="AV53" s="74"/>
      <c r="AW53" s="74"/>
    </row>
    <row r="54" spans="1:49" x14ac:dyDescent="0.25">
      <c r="A54" s="74"/>
      <c r="B54" s="6"/>
      <c r="C54" s="2"/>
      <c r="D54" s="7"/>
      <c r="E54" s="75"/>
      <c r="F54" s="75"/>
      <c r="G54" s="75"/>
      <c r="H54" s="6"/>
      <c r="I54" s="2"/>
      <c r="J54" s="7"/>
      <c r="K54" s="75"/>
      <c r="L54" s="75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/>
      <c r="AN54" s="74"/>
      <c r="AO54" s="74"/>
      <c r="AP54" s="74"/>
      <c r="AQ54" s="74"/>
      <c r="AR54" s="74"/>
      <c r="AS54" s="74"/>
      <c r="AT54" s="74"/>
      <c r="AU54" s="74"/>
      <c r="AV54" s="74"/>
      <c r="AW54" s="74"/>
    </row>
    <row r="55" spans="1:49" x14ac:dyDescent="0.25">
      <c r="A55" s="74"/>
      <c r="B55" s="6"/>
      <c r="C55" s="2"/>
      <c r="D55" s="7"/>
      <c r="E55" s="75"/>
      <c r="F55" s="75"/>
      <c r="G55" s="75"/>
      <c r="H55" s="6"/>
      <c r="I55" s="2"/>
      <c r="J55" s="7"/>
      <c r="K55" s="75"/>
      <c r="L55" s="75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/>
      <c r="AN55" s="74"/>
      <c r="AO55" s="74"/>
      <c r="AP55" s="74"/>
      <c r="AQ55" s="74"/>
      <c r="AR55" s="74"/>
      <c r="AS55" s="74"/>
      <c r="AT55" s="74"/>
      <c r="AU55" s="74"/>
      <c r="AV55" s="74"/>
      <c r="AW55" s="74"/>
    </row>
    <row r="56" spans="1:49" ht="18.75" x14ac:dyDescent="0.3">
      <c r="A56" s="74"/>
      <c r="B56" s="9"/>
      <c r="C56" s="2"/>
      <c r="D56" s="7"/>
      <c r="E56" s="75"/>
      <c r="F56" s="75"/>
      <c r="G56" s="75"/>
      <c r="H56" s="6"/>
      <c r="I56" s="2"/>
      <c r="J56" s="7"/>
      <c r="K56" s="75"/>
      <c r="L56" s="75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/>
      <c r="AN56" s="74"/>
      <c r="AO56" s="74"/>
      <c r="AP56" s="74"/>
      <c r="AQ56" s="74"/>
      <c r="AR56" s="74"/>
      <c r="AS56" s="74"/>
      <c r="AT56" s="74"/>
      <c r="AU56" s="74"/>
      <c r="AV56" s="74"/>
      <c r="AW56" s="74"/>
    </row>
    <row r="57" spans="1:49" x14ac:dyDescent="0.25">
      <c r="A57" s="74"/>
      <c r="B57" s="10"/>
      <c r="C57" s="38"/>
      <c r="D57" s="11"/>
      <c r="E57" s="75"/>
      <c r="F57" s="75"/>
      <c r="G57" s="75"/>
      <c r="H57" s="6"/>
      <c r="I57" s="2"/>
      <c r="J57" s="7"/>
      <c r="K57" s="75"/>
      <c r="L57" s="75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  <c r="AC57" s="74"/>
      <c r="AD57" s="74"/>
      <c r="AE57" s="74"/>
      <c r="AF57" s="74"/>
      <c r="AG57" s="74"/>
      <c r="AH57" s="74"/>
      <c r="AI57" s="74"/>
      <c r="AJ57" s="74"/>
      <c r="AK57" s="74"/>
      <c r="AL57" s="74"/>
      <c r="AM57" s="74"/>
      <c r="AN57" s="74"/>
      <c r="AO57" s="74"/>
      <c r="AP57" s="74"/>
      <c r="AQ57" s="74"/>
      <c r="AR57" s="74"/>
      <c r="AS57" s="74"/>
      <c r="AT57" s="74"/>
      <c r="AU57" s="74"/>
      <c r="AV57" s="74"/>
      <c r="AW57" s="74"/>
    </row>
    <row r="58" spans="1:49" x14ac:dyDescent="0.25">
      <c r="A58" s="74"/>
      <c r="B58" s="6"/>
      <c r="C58" s="2"/>
      <c r="D58" s="7"/>
      <c r="E58" s="75"/>
      <c r="F58" s="75"/>
      <c r="G58" s="75"/>
      <c r="H58" s="6"/>
      <c r="I58" s="2"/>
      <c r="J58" s="7"/>
      <c r="K58" s="75"/>
      <c r="L58" s="75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  <c r="AD58" s="74"/>
      <c r="AE58" s="74"/>
      <c r="AF58" s="74"/>
      <c r="AG58" s="74"/>
      <c r="AH58" s="74"/>
      <c r="AI58" s="74"/>
      <c r="AJ58" s="74"/>
      <c r="AK58" s="74"/>
      <c r="AL58" s="74"/>
      <c r="AM58" s="74"/>
      <c r="AN58" s="74"/>
      <c r="AO58" s="74"/>
      <c r="AP58" s="74"/>
      <c r="AQ58" s="74"/>
      <c r="AR58" s="74"/>
      <c r="AS58" s="74"/>
      <c r="AT58" s="74"/>
      <c r="AU58" s="74"/>
      <c r="AV58" s="74"/>
      <c r="AW58" s="74"/>
    </row>
    <row r="59" spans="1:49" x14ac:dyDescent="0.25">
      <c r="A59" s="74"/>
      <c r="B59" s="6"/>
      <c r="C59" s="2"/>
      <c r="D59" s="7"/>
      <c r="E59" s="75"/>
      <c r="F59" s="75"/>
      <c r="G59" s="75"/>
      <c r="H59" s="6"/>
      <c r="I59" s="2"/>
      <c r="J59" s="7"/>
      <c r="K59" s="75"/>
      <c r="L59" s="75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  <c r="AC59" s="74"/>
      <c r="AD59" s="74"/>
      <c r="AE59" s="74"/>
      <c r="AF59" s="74"/>
      <c r="AG59" s="74"/>
      <c r="AH59" s="74"/>
      <c r="AI59" s="74"/>
      <c r="AJ59" s="74"/>
      <c r="AK59" s="74"/>
      <c r="AL59" s="74"/>
      <c r="AM59" s="74"/>
      <c r="AN59" s="74"/>
      <c r="AO59" s="74"/>
      <c r="AP59" s="74"/>
      <c r="AQ59" s="74"/>
      <c r="AR59" s="74"/>
      <c r="AS59" s="74"/>
      <c r="AT59" s="74"/>
      <c r="AU59" s="74"/>
      <c r="AV59" s="74"/>
      <c r="AW59" s="74"/>
    </row>
    <row r="60" spans="1:49" x14ac:dyDescent="0.25">
      <c r="A60" s="74"/>
      <c r="B60" s="6"/>
      <c r="C60" s="2"/>
      <c r="D60" s="7"/>
      <c r="E60" s="75"/>
      <c r="F60" s="75"/>
      <c r="G60" s="75"/>
      <c r="H60" s="29" t="s">
        <v>17</v>
      </c>
      <c r="I60" s="30" t="s">
        <v>77</v>
      </c>
      <c r="J60" s="31">
        <v>25</v>
      </c>
      <c r="K60" s="75"/>
      <c r="L60" s="75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  <c r="AA60" s="74"/>
      <c r="AB60" s="74"/>
      <c r="AC60" s="74"/>
      <c r="AD60" s="74"/>
      <c r="AE60" s="74"/>
      <c r="AF60" s="74"/>
      <c r="AG60" s="74"/>
      <c r="AH60" s="74"/>
      <c r="AI60" s="74"/>
      <c r="AJ60" s="74"/>
      <c r="AK60" s="74"/>
      <c r="AL60" s="74"/>
      <c r="AM60" s="74"/>
      <c r="AN60" s="74"/>
      <c r="AO60" s="74"/>
      <c r="AP60" s="74"/>
      <c r="AQ60" s="74"/>
      <c r="AR60" s="74"/>
      <c r="AS60" s="74"/>
      <c r="AT60" s="74"/>
      <c r="AU60" s="74"/>
      <c r="AV60" s="74"/>
      <c r="AW60" s="74"/>
    </row>
    <row r="61" spans="1:49" ht="15.75" customHeight="1" x14ac:dyDescent="0.25">
      <c r="A61" s="74"/>
      <c r="B61" s="6"/>
      <c r="C61" s="2"/>
      <c r="D61" s="7"/>
      <c r="E61" s="75"/>
      <c r="F61" s="75"/>
      <c r="G61" s="75"/>
      <c r="H61" s="29" t="s">
        <v>17</v>
      </c>
      <c r="I61" s="30" t="s">
        <v>67</v>
      </c>
      <c r="J61" s="31">
        <v>20</v>
      </c>
      <c r="K61" s="75"/>
      <c r="L61" s="75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  <c r="AA61" s="74"/>
      <c r="AB61" s="74"/>
      <c r="AC61" s="74"/>
      <c r="AD61" s="74"/>
      <c r="AE61" s="74"/>
      <c r="AF61" s="74"/>
      <c r="AG61" s="74"/>
      <c r="AH61" s="74"/>
      <c r="AI61" s="74"/>
      <c r="AJ61" s="74"/>
      <c r="AK61" s="74"/>
      <c r="AL61" s="74"/>
      <c r="AM61" s="74"/>
      <c r="AN61" s="74"/>
      <c r="AO61" s="74"/>
      <c r="AP61" s="74"/>
      <c r="AQ61" s="74"/>
      <c r="AR61" s="74"/>
      <c r="AS61" s="74"/>
      <c r="AT61" s="74"/>
      <c r="AU61" s="74"/>
      <c r="AV61" s="74"/>
      <c r="AW61" s="74"/>
    </row>
    <row r="62" spans="1:49" ht="19.5" customHeight="1" x14ac:dyDescent="0.3">
      <c r="A62" s="74"/>
      <c r="B62" s="12" t="s">
        <v>56</v>
      </c>
      <c r="C62" s="21"/>
      <c r="D62" s="20">
        <f>SUM(D48:D61)</f>
        <v>300</v>
      </c>
      <c r="E62" s="75"/>
      <c r="F62" s="75"/>
      <c r="G62" s="75"/>
      <c r="H62" s="8" t="s">
        <v>56</v>
      </c>
      <c r="I62" s="19"/>
      <c r="J62" s="20">
        <f>SUM(J48:J61)</f>
        <v>85</v>
      </c>
      <c r="K62" s="75"/>
      <c r="L62" s="75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4"/>
      <c r="AB62" s="74"/>
      <c r="AC62" s="74"/>
      <c r="AD62" s="74"/>
      <c r="AE62" s="74"/>
      <c r="AF62" s="74"/>
      <c r="AG62" s="74"/>
      <c r="AH62" s="74"/>
      <c r="AI62" s="74"/>
      <c r="AJ62" s="74"/>
      <c r="AK62" s="74"/>
      <c r="AL62" s="74"/>
      <c r="AM62" s="74"/>
      <c r="AN62" s="74"/>
      <c r="AO62" s="74"/>
      <c r="AP62" s="74"/>
      <c r="AQ62" s="74"/>
      <c r="AR62" s="74"/>
      <c r="AS62" s="74"/>
      <c r="AT62" s="74"/>
      <c r="AU62" s="74"/>
      <c r="AV62" s="74"/>
      <c r="AW62" s="74"/>
    </row>
    <row r="63" spans="1:49" x14ac:dyDescent="0.25">
      <c r="A63" s="74"/>
      <c r="B63" s="87"/>
      <c r="C63" s="87"/>
      <c r="D63" s="87"/>
      <c r="E63" s="75"/>
      <c r="F63" s="75"/>
      <c r="G63" s="75"/>
      <c r="H63" s="91"/>
      <c r="I63" s="91"/>
      <c r="J63" s="91"/>
      <c r="K63" s="75"/>
      <c r="L63" s="75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  <c r="AB63" s="74"/>
      <c r="AC63" s="74"/>
      <c r="AD63" s="74"/>
      <c r="AE63" s="74"/>
      <c r="AF63" s="74"/>
      <c r="AG63" s="74"/>
      <c r="AH63" s="74"/>
      <c r="AI63" s="74"/>
      <c r="AJ63" s="74"/>
      <c r="AK63" s="74"/>
      <c r="AL63" s="74"/>
      <c r="AM63" s="74"/>
      <c r="AN63" s="74"/>
      <c r="AO63" s="74"/>
      <c r="AP63" s="74"/>
      <c r="AQ63" s="74"/>
      <c r="AR63" s="74"/>
      <c r="AS63" s="74"/>
      <c r="AT63" s="74"/>
      <c r="AU63" s="74"/>
      <c r="AV63" s="74"/>
      <c r="AW63" s="74"/>
    </row>
    <row r="64" spans="1:49" x14ac:dyDescent="0.25">
      <c r="A64" s="74"/>
      <c r="B64" s="88"/>
      <c r="C64" s="88"/>
      <c r="D64" s="88"/>
      <c r="E64" s="75"/>
      <c r="F64" s="75"/>
      <c r="G64" s="75"/>
      <c r="H64" s="75"/>
      <c r="I64" s="75"/>
      <c r="J64" s="75"/>
      <c r="K64" s="75"/>
      <c r="L64" s="75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  <c r="AA64" s="74"/>
      <c r="AB64" s="74"/>
      <c r="AC64" s="74"/>
      <c r="AD64" s="74"/>
      <c r="AE64" s="74"/>
      <c r="AF64" s="74"/>
      <c r="AG64" s="74"/>
      <c r="AH64" s="74"/>
      <c r="AI64" s="74"/>
      <c r="AJ64" s="74"/>
      <c r="AK64" s="74"/>
      <c r="AL64" s="74"/>
      <c r="AM64" s="74"/>
      <c r="AN64" s="74"/>
      <c r="AO64" s="74"/>
      <c r="AP64" s="74"/>
      <c r="AQ64" s="74"/>
      <c r="AR64" s="74"/>
      <c r="AS64" s="74"/>
      <c r="AT64" s="74"/>
      <c r="AU64" s="74"/>
      <c r="AV64" s="74"/>
      <c r="AW64" s="74"/>
    </row>
    <row r="65" spans="1:49" ht="15.75" customHeight="1" x14ac:dyDescent="0.25">
      <c r="A65" s="74"/>
      <c r="B65" s="89"/>
      <c r="C65" s="89"/>
      <c r="D65" s="88"/>
      <c r="E65" s="75"/>
      <c r="F65" s="75"/>
      <c r="G65" s="75"/>
      <c r="H65" s="75"/>
      <c r="I65" s="75"/>
      <c r="J65" s="75"/>
      <c r="K65" s="75"/>
      <c r="L65" s="75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  <c r="AA65" s="74"/>
      <c r="AB65" s="74"/>
      <c r="AC65" s="74"/>
      <c r="AD65" s="74"/>
      <c r="AE65" s="74"/>
      <c r="AF65" s="74"/>
      <c r="AG65" s="74"/>
      <c r="AH65" s="74"/>
      <c r="AI65" s="74"/>
      <c r="AJ65" s="74"/>
      <c r="AK65" s="74"/>
      <c r="AL65" s="74"/>
      <c r="AM65" s="74"/>
      <c r="AN65" s="74"/>
      <c r="AO65" s="74"/>
      <c r="AP65" s="74"/>
      <c r="AQ65" s="74"/>
      <c r="AR65" s="74"/>
      <c r="AS65" s="74"/>
      <c r="AT65" s="74"/>
      <c r="AU65" s="74"/>
      <c r="AV65" s="74"/>
      <c r="AW65" s="74"/>
    </row>
    <row r="66" spans="1:49" ht="15.75" customHeight="1" x14ac:dyDescent="0.25">
      <c r="A66" s="74"/>
      <c r="B66" s="13" t="s">
        <v>68</v>
      </c>
      <c r="C66" s="14"/>
      <c r="D66" s="88"/>
      <c r="E66" s="75"/>
      <c r="F66" s="75"/>
      <c r="G66" s="75"/>
      <c r="H66" s="92"/>
      <c r="I66" s="92"/>
      <c r="J66" s="92"/>
      <c r="K66" s="75"/>
      <c r="L66" s="75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  <c r="AA66" s="74"/>
      <c r="AB66" s="74"/>
      <c r="AC66" s="74"/>
      <c r="AD66" s="74"/>
      <c r="AE66" s="74"/>
      <c r="AF66" s="74"/>
      <c r="AG66" s="74"/>
      <c r="AH66" s="74"/>
      <c r="AI66" s="74"/>
      <c r="AJ66" s="74"/>
      <c r="AK66" s="74"/>
      <c r="AL66" s="74"/>
      <c r="AM66" s="74"/>
      <c r="AN66" s="74"/>
      <c r="AO66" s="74"/>
      <c r="AP66" s="74"/>
      <c r="AQ66" s="74"/>
      <c r="AR66" s="74"/>
      <c r="AS66" s="74"/>
      <c r="AT66" s="74"/>
      <c r="AU66" s="74"/>
      <c r="AV66" s="74"/>
      <c r="AW66" s="74"/>
    </row>
    <row r="67" spans="1:49" ht="15.75" customHeight="1" x14ac:dyDescent="0.25">
      <c r="A67" s="74"/>
      <c r="B67" s="90"/>
      <c r="C67" s="90"/>
      <c r="D67" s="88"/>
      <c r="E67" s="75"/>
      <c r="F67" s="75"/>
      <c r="G67" s="75"/>
      <c r="H67" s="22"/>
      <c r="I67" s="23"/>
      <c r="J67" s="24"/>
      <c r="K67" s="75"/>
      <c r="L67" s="75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  <c r="AA67" s="74"/>
      <c r="AB67" s="74"/>
      <c r="AC67" s="74"/>
      <c r="AD67" s="74"/>
      <c r="AE67" s="74"/>
      <c r="AF67" s="74"/>
      <c r="AG67" s="74"/>
      <c r="AH67" s="74"/>
      <c r="AI67" s="74"/>
      <c r="AJ67" s="74"/>
      <c r="AK67" s="74"/>
      <c r="AL67" s="74"/>
      <c r="AM67" s="74"/>
      <c r="AN67" s="74"/>
      <c r="AO67" s="74"/>
      <c r="AP67" s="74"/>
      <c r="AQ67" s="74"/>
      <c r="AR67" s="74"/>
      <c r="AS67" s="74"/>
      <c r="AT67" s="74"/>
      <c r="AU67" s="74"/>
      <c r="AV67" s="74"/>
      <c r="AW67" s="74"/>
    </row>
    <row r="68" spans="1:49" ht="25.5" customHeight="1" x14ac:dyDescent="0.25">
      <c r="A68" s="74"/>
      <c r="B68" s="8" t="s">
        <v>69</v>
      </c>
      <c r="C68" s="15">
        <v>979.44</v>
      </c>
      <c r="D68" s="93" t="s">
        <v>70</v>
      </c>
      <c r="E68" s="78"/>
      <c r="F68" s="75"/>
      <c r="G68" s="86"/>
      <c r="H68" s="26" t="s">
        <v>71</v>
      </c>
      <c r="I68" s="27" t="s">
        <v>72</v>
      </c>
      <c r="J68" s="28" t="s">
        <v>73</v>
      </c>
      <c r="K68" s="75"/>
      <c r="L68" s="75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  <c r="AA68" s="74"/>
      <c r="AB68" s="74"/>
      <c r="AC68" s="74"/>
      <c r="AD68" s="74"/>
      <c r="AE68" s="74"/>
      <c r="AF68" s="74"/>
      <c r="AG68" s="74"/>
      <c r="AH68" s="74"/>
      <c r="AI68" s="74"/>
      <c r="AJ68" s="74"/>
      <c r="AK68" s="74"/>
      <c r="AL68" s="74"/>
      <c r="AM68" s="74"/>
      <c r="AN68" s="74"/>
      <c r="AO68" s="74"/>
      <c r="AP68" s="74"/>
      <c r="AQ68" s="74"/>
      <c r="AR68" s="74"/>
      <c r="AS68" s="74"/>
      <c r="AT68" s="74"/>
      <c r="AU68" s="74"/>
      <c r="AV68" s="74"/>
      <c r="AW68" s="74"/>
    </row>
    <row r="69" spans="1:49" x14ac:dyDescent="0.25">
      <c r="A69" s="74"/>
      <c r="B69" s="75"/>
      <c r="C69" s="75"/>
      <c r="D69" s="75"/>
      <c r="E69" s="75"/>
      <c r="F69" s="75"/>
      <c r="G69" s="75"/>
      <c r="H69" s="75"/>
      <c r="I69" s="75"/>
      <c r="J69" s="75"/>
      <c r="K69" s="75"/>
      <c r="L69" s="75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  <c r="AA69" s="74"/>
      <c r="AB69" s="74"/>
      <c r="AC69" s="74"/>
      <c r="AD69" s="74"/>
      <c r="AE69" s="74"/>
      <c r="AF69" s="74"/>
      <c r="AG69" s="74"/>
      <c r="AH69" s="74"/>
      <c r="AI69" s="74"/>
      <c r="AJ69" s="74"/>
      <c r="AK69" s="74"/>
      <c r="AL69" s="74"/>
      <c r="AM69" s="74"/>
      <c r="AN69" s="74"/>
      <c r="AO69" s="74"/>
      <c r="AP69" s="74"/>
      <c r="AQ69" s="74"/>
      <c r="AR69" s="74"/>
      <c r="AS69" s="74"/>
      <c r="AT69" s="74"/>
      <c r="AU69" s="74"/>
      <c r="AV69" s="74"/>
      <c r="AW69" s="74"/>
    </row>
    <row r="70" spans="1:49" x14ac:dyDescent="0.25">
      <c r="A70" s="74"/>
      <c r="B70" s="75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  <c r="AR70" s="74"/>
      <c r="AS70" s="74"/>
      <c r="AT70" s="74"/>
      <c r="AU70" s="74"/>
      <c r="AV70" s="74"/>
      <c r="AW70" s="74"/>
    </row>
    <row r="71" spans="1:49" x14ac:dyDescent="0.25">
      <c r="A71" s="74"/>
      <c r="B71" s="75"/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  <c r="AA71" s="74"/>
      <c r="AB71" s="74"/>
      <c r="AC71" s="74"/>
      <c r="AD71" s="74"/>
      <c r="AE71" s="74"/>
      <c r="AF71" s="74"/>
      <c r="AG71" s="74"/>
      <c r="AH71" s="74"/>
      <c r="AI71" s="74"/>
      <c r="AJ71" s="74"/>
      <c r="AK71" s="74"/>
      <c r="AL71" s="74"/>
      <c r="AM71" s="74"/>
      <c r="AN71" s="74"/>
      <c r="AO71" s="74"/>
      <c r="AP71" s="74"/>
      <c r="AQ71" s="74"/>
      <c r="AR71" s="74"/>
      <c r="AS71" s="74"/>
      <c r="AT71" s="74"/>
      <c r="AU71" s="74"/>
      <c r="AV71" s="74"/>
      <c r="AW71" s="74"/>
    </row>
    <row r="72" spans="1:49" x14ac:dyDescent="0.25">
      <c r="A72" s="74"/>
      <c r="B72" s="75"/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  <c r="AA72" s="74"/>
      <c r="AB72" s="74"/>
      <c r="AC72" s="74"/>
      <c r="AD72" s="74"/>
      <c r="AE72" s="74"/>
      <c r="AF72" s="74"/>
      <c r="AG72" s="74"/>
      <c r="AH72" s="74"/>
      <c r="AI72" s="74"/>
      <c r="AJ72" s="74"/>
      <c r="AK72" s="74"/>
      <c r="AL72" s="74"/>
      <c r="AM72" s="74"/>
      <c r="AN72" s="74"/>
      <c r="AO72" s="74"/>
      <c r="AP72" s="74"/>
      <c r="AQ72" s="74"/>
      <c r="AR72" s="74"/>
      <c r="AS72" s="74"/>
      <c r="AT72" s="74"/>
      <c r="AU72" s="74"/>
      <c r="AV72" s="74"/>
      <c r="AW72" s="74"/>
    </row>
    <row r="73" spans="1:49" x14ac:dyDescent="0.25">
      <c r="A73" s="74"/>
      <c r="B73" s="75"/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  <c r="AA73" s="74"/>
      <c r="AB73" s="74"/>
      <c r="AC73" s="74"/>
      <c r="AD73" s="74"/>
      <c r="AE73" s="74"/>
      <c r="AF73" s="74"/>
      <c r="AG73" s="74"/>
      <c r="AH73" s="74"/>
      <c r="AI73" s="74"/>
      <c r="AJ73" s="74"/>
      <c r="AK73" s="74"/>
      <c r="AL73" s="74"/>
      <c r="AM73" s="74"/>
      <c r="AN73" s="74"/>
      <c r="AO73" s="74"/>
      <c r="AP73" s="74"/>
      <c r="AQ73" s="74"/>
      <c r="AR73" s="74"/>
      <c r="AS73" s="74"/>
      <c r="AT73" s="74"/>
      <c r="AU73" s="74"/>
      <c r="AV73" s="74"/>
      <c r="AW73" s="74"/>
    </row>
    <row r="74" spans="1:49" x14ac:dyDescent="0.25">
      <c r="A74" s="74"/>
      <c r="B74" s="75"/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  <c r="AA74" s="74"/>
      <c r="AB74" s="74"/>
      <c r="AC74" s="74"/>
      <c r="AD74" s="74"/>
      <c r="AE74" s="74"/>
      <c r="AF74" s="74"/>
      <c r="AG74" s="74"/>
      <c r="AH74" s="74"/>
      <c r="AI74" s="74"/>
      <c r="AJ74" s="74"/>
      <c r="AK74" s="74"/>
      <c r="AL74" s="74"/>
      <c r="AM74" s="74"/>
      <c r="AN74" s="74"/>
      <c r="AO74" s="74"/>
      <c r="AP74" s="74"/>
      <c r="AQ74" s="74"/>
      <c r="AR74" s="74"/>
      <c r="AS74" s="74"/>
      <c r="AT74" s="74"/>
      <c r="AU74" s="74"/>
      <c r="AV74" s="74"/>
      <c r="AW74" s="74"/>
    </row>
    <row r="75" spans="1:49" x14ac:dyDescent="0.25">
      <c r="A75" s="74"/>
      <c r="B75" s="75"/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  <c r="AA75" s="74"/>
      <c r="AB75" s="74"/>
      <c r="AC75" s="74"/>
      <c r="AD75" s="74"/>
      <c r="AE75" s="74"/>
      <c r="AF75" s="74"/>
      <c r="AG75" s="74"/>
      <c r="AH75" s="74"/>
      <c r="AI75" s="74"/>
      <c r="AJ75" s="74"/>
      <c r="AK75" s="74"/>
      <c r="AL75" s="74"/>
      <c r="AM75" s="74"/>
      <c r="AN75" s="74"/>
      <c r="AO75" s="74"/>
      <c r="AP75" s="74"/>
      <c r="AQ75" s="74"/>
      <c r="AR75" s="74"/>
      <c r="AS75" s="74"/>
      <c r="AT75" s="74"/>
      <c r="AU75" s="74"/>
      <c r="AV75" s="74"/>
      <c r="AW75" s="74"/>
    </row>
    <row r="76" spans="1:49" x14ac:dyDescent="0.25">
      <c r="A76" s="74"/>
      <c r="B76" s="75"/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  <c r="AA76" s="74"/>
      <c r="AB76" s="74"/>
      <c r="AC76" s="74"/>
      <c r="AD76" s="74"/>
      <c r="AE76" s="74"/>
      <c r="AF76" s="74"/>
      <c r="AG76" s="74"/>
      <c r="AH76" s="74"/>
      <c r="AI76" s="74"/>
      <c r="AJ76" s="74"/>
      <c r="AK76" s="74"/>
      <c r="AL76" s="74"/>
      <c r="AM76" s="74"/>
      <c r="AN76" s="74"/>
      <c r="AO76" s="74"/>
      <c r="AP76" s="74"/>
      <c r="AQ76" s="74"/>
      <c r="AR76" s="74"/>
      <c r="AS76" s="74"/>
      <c r="AT76" s="74"/>
      <c r="AU76" s="74"/>
      <c r="AV76" s="74"/>
      <c r="AW76" s="74"/>
    </row>
    <row r="77" spans="1:49" x14ac:dyDescent="0.25">
      <c r="A77" s="74"/>
      <c r="B77" s="75"/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  <c r="AA77" s="74"/>
      <c r="AB77" s="74"/>
      <c r="AC77" s="74"/>
      <c r="AD77" s="74"/>
      <c r="AE77" s="74"/>
      <c r="AF77" s="74"/>
      <c r="AG77" s="74"/>
      <c r="AH77" s="74"/>
      <c r="AI77" s="74"/>
      <c r="AJ77" s="74"/>
      <c r="AK77" s="74"/>
      <c r="AL77" s="74"/>
      <c r="AM77" s="74"/>
      <c r="AN77" s="74"/>
      <c r="AO77" s="74"/>
      <c r="AP77" s="74"/>
      <c r="AQ77" s="74"/>
      <c r="AR77" s="74"/>
      <c r="AS77" s="74"/>
      <c r="AT77" s="74"/>
      <c r="AU77" s="74"/>
      <c r="AV77" s="74"/>
      <c r="AW77" s="74"/>
    </row>
    <row r="78" spans="1:49" x14ac:dyDescent="0.25">
      <c r="A78" s="74"/>
      <c r="B78" s="75"/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  <c r="AA78" s="74"/>
      <c r="AB78" s="74"/>
      <c r="AC78" s="74"/>
      <c r="AD78" s="74"/>
      <c r="AE78" s="74"/>
      <c r="AF78" s="74"/>
      <c r="AG78" s="74"/>
      <c r="AH78" s="74"/>
      <c r="AI78" s="74"/>
      <c r="AJ78" s="74"/>
      <c r="AK78" s="74"/>
      <c r="AL78" s="74"/>
      <c r="AM78" s="74"/>
      <c r="AN78" s="74"/>
      <c r="AO78" s="74"/>
      <c r="AP78" s="74"/>
      <c r="AQ78" s="74"/>
      <c r="AR78" s="74"/>
      <c r="AS78" s="74"/>
      <c r="AT78" s="74"/>
      <c r="AU78" s="74"/>
      <c r="AV78" s="74"/>
      <c r="AW78" s="74"/>
    </row>
    <row r="79" spans="1:49" x14ac:dyDescent="0.25">
      <c r="A79" s="74"/>
      <c r="B79" s="75"/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  <c r="AA79" s="74"/>
      <c r="AB79" s="74"/>
      <c r="AC79" s="74"/>
      <c r="AD79" s="74"/>
      <c r="AE79" s="74"/>
      <c r="AF79" s="74"/>
      <c r="AG79" s="74"/>
      <c r="AH79" s="74"/>
      <c r="AI79" s="74"/>
      <c r="AJ79" s="74"/>
      <c r="AK79" s="74"/>
      <c r="AL79" s="74"/>
      <c r="AM79" s="74"/>
      <c r="AN79" s="74"/>
      <c r="AO79" s="74"/>
      <c r="AP79" s="74"/>
      <c r="AQ79" s="74"/>
      <c r="AR79" s="74"/>
      <c r="AS79" s="74"/>
      <c r="AT79" s="74"/>
      <c r="AU79" s="74"/>
      <c r="AV79" s="74"/>
      <c r="AW79" s="74"/>
    </row>
    <row r="80" spans="1:49" x14ac:dyDescent="0.25">
      <c r="A80" s="74"/>
      <c r="B80" s="75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  <c r="AA80" s="74"/>
      <c r="AB80" s="74"/>
      <c r="AC80" s="74"/>
      <c r="AD80" s="74"/>
      <c r="AE80" s="74"/>
      <c r="AF80" s="74"/>
      <c r="AG80" s="74"/>
      <c r="AH80" s="74"/>
      <c r="AI80" s="74"/>
      <c r="AJ80" s="74"/>
      <c r="AK80" s="74"/>
      <c r="AL80" s="74"/>
      <c r="AM80" s="74"/>
      <c r="AN80" s="74"/>
      <c r="AO80" s="74"/>
      <c r="AP80" s="74"/>
      <c r="AQ80" s="74"/>
      <c r="AR80" s="74"/>
      <c r="AS80" s="74"/>
      <c r="AT80" s="74"/>
      <c r="AU80" s="74"/>
      <c r="AV80" s="74"/>
      <c r="AW80" s="74"/>
    </row>
    <row r="81" spans="1:49" x14ac:dyDescent="0.25">
      <c r="A81" s="74"/>
      <c r="B81" s="75"/>
      <c r="C81" s="75"/>
      <c r="D81" s="75"/>
      <c r="E81" s="75"/>
      <c r="F81" s="75"/>
      <c r="G81" s="75"/>
      <c r="H81" s="75"/>
      <c r="I81" s="75"/>
      <c r="J81" s="75"/>
      <c r="K81" s="75"/>
      <c r="L81" s="75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  <c r="AA81" s="74"/>
      <c r="AB81" s="74"/>
      <c r="AC81" s="74"/>
      <c r="AD81" s="74"/>
      <c r="AE81" s="74"/>
      <c r="AF81" s="74"/>
      <c r="AG81" s="74"/>
      <c r="AH81" s="74"/>
      <c r="AI81" s="74"/>
      <c r="AJ81" s="74"/>
      <c r="AK81" s="74"/>
      <c r="AL81" s="74"/>
      <c r="AM81" s="74"/>
      <c r="AN81" s="74"/>
      <c r="AO81" s="74"/>
      <c r="AP81" s="74"/>
      <c r="AQ81" s="74"/>
      <c r="AR81" s="74"/>
      <c r="AS81" s="74"/>
      <c r="AT81" s="74"/>
      <c r="AU81" s="74"/>
      <c r="AV81" s="74"/>
      <c r="AW81" s="74"/>
    </row>
    <row r="82" spans="1:49" x14ac:dyDescent="0.25">
      <c r="A82" s="74"/>
      <c r="B82" s="75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  <c r="AA82" s="74"/>
      <c r="AB82" s="74"/>
      <c r="AC82" s="74"/>
      <c r="AD82" s="74"/>
      <c r="AE82" s="74"/>
      <c r="AF82" s="74"/>
      <c r="AG82" s="74"/>
      <c r="AH82" s="74"/>
      <c r="AI82" s="74"/>
      <c r="AJ82" s="74"/>
      <c r="AK82" s="74"/>
      <c r="AL82" s="74"/>
      <c r="AM82" s="74"/>
      <c r="AN82" s="74"/>
      <c r="AO82" s="74"/>
      <c r="AP82" s="74"/>
      <c r="AQ82" s="74"/>
      <c r="AR82" s="74"/>
      <c r="AS82" s="74"/>
      <c r="AT82" s="74"/>
      <c r="AU82" s="74"/>
      <c r="AV82" s="74"/>
      <c r="AW82" s="74"/>
    </row>
    <row r="83" spans="1:49" x14ac:dyDescent="0.25">
      <c r="A83" s="74"/>
      <c r="B83" s="75"/>
      <c r="C83" s="75"/>
      <c r="D83" s="75"/>
      <c r="E83" s="75"/>
      <c r="F83" s="75"/>
      <c r="G83" s="75"/>
      <c r="H83" s="75"/>
      <c r="I83" s="75"/>
      <c r="J83" s="75"/>
      <c r="K83" s="75"/>
      <c r="L83" s="75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  <c r="AA83" s="74"/>
      <c r="AB83" s="74"/>
      <c r="AC83" s="74"/>
      <c r="AD83" s="74"/>
      <c r="AE83" s="74"/>
      <c r="AF83" s="74"/>
      <c r="AG83" s="74"/>
      <c r="AH83" s="74"/>
      <c r="AI83" s="74"/>
      <c r="AJ83" s="74"/>
      <c r="AK83" s="74"/>
      <c r="AL83" s="74"/>
      <c r="AM83" s="74"/>
      <c r="AN83" s="74"/>
      <c r="AO83" s="74"/>
      <c r="AP83" s="74"/>
      <c r="AQ83" s="74"/>
      <c r="AR83" s="74"/>
      <c r="AS83" s="74"/>
      <c r="AT83" s="74"/>
      <c r="AU83" s="74"/>
      <c r="AV83" s="74"/>
      <c r="AW83" s="74"/>
    </row>
    <row r="84" spans="1:49" x14ac:dyDescent="0.25">
      <c r="A84" s="74"/>
      <c r="B84" s="75"/>
      <c r="C84" s="75"/>
      <c r="D84" s="75"/>
      <c r="E84" s="75"/>
      <c r="F84" s="75"/>
      <c r="G84" s="75"/>
      <c r="H84" s="75"/>
      <c r="I84" s="75"/>
      <c r="J84" s="75"/>
      <c r="K84" s="75"/>
      <c r="L84" s="75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  <c r="AA84" s="74"/>
      <c r="AB84" s="74"/>
      <c r="AC84" s="74"/>
      <c r="AD84" s="74"/>
      <c r="AE84" s="74"/>
      <c r="AF84" s="74"/>
      <c r="AG84" s="74"/>
      <c r="AH84" s="74"/>
      <c r="AI84" s="74"/>
      <c r="AJ84" s="74"/>
      <c r="AK84" s="74"/>
      <c r="AL84" s="74"/>
      <c r="AM84" s="74"/>
      <c r="AN84" s="74"/>
      <c r="AO84" s="74"/>
      <c r="AP84" s="74"/>
      <c r="AQ84" s="74"/>
      <c r="AR84" s="74"/>
      <c r="AS84" s="74"/>
      <c r="AT84" s="74"/>
      <c r="AU84" s="74"/>
      <c r="AV84" s="74"/>
      <c r="AW84" s="74"/>
    </row>
    <row r="85" spans="1:49" x14ac:dyDescent="0.25">
      <c r="A85" s="74"/>
      <c r="B85" s="75"/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  <c r="AA85" s="74"/>
      <c r="AB85" s="74"/>
      <c r="AC85" s="74"/>
      <c r="AD85" s="74"/>
      <c r="AE85" s="74"/>
      <c r="AF85" s="74"/>
      <c r="AG85" s="74"/>
      <c r="AH85" s="74"/>
      <c r="AI85" s="74"/>
      <c r="AJ85" s="74"/>
      <c r="AK85" s="74"/>
      <c r="AL85" s="74"/>
      <c r="AM85" s="74"/>
      <c r="AN85" s="74"/>
      <c r="AO85" s="74"/>
      <c r="AP85" s="74"/>
      <c r="AQ85" s="74"/>
      <c r="AR85" s="74"/>
      <c r="AS85" s="74"/>
      <c r="AT85" s="74"/>
      <c r="AU85" s="74"/>
      <c r="AV85" s="74"/>
      <c r="AW85" s="74"/>
    </row>
    <row r="86" spans="1:49" x14ac:dyDescent="0.25">
      <c r="A86" s="74"/>
      <c r="B86" s="75"/>
      <c r="C86" s="75"/>
      <c r="D86" s="75"/>
      <c r="E86" s="75"/>
      <c r="F86" s="75"/>
      <c r="G86" s="75"/>
      <c r="H86" s="75"/>
      <c r="I86" s="75"/>
      <c r="J86" s="75"/>
      <c r="K86" s="75"/>
      <c r="L86" s="75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  <c r="AA86" s="74"/>
      <c r="AB86" s="74"/>
      <c r="AC86" s="74"/>
      <c r="AD86" s="74"/>
      <c r="AE86" s="74"/>
      <c r="AF86" s="74"/>
      <c r="AG86" s="74"/>
      <c r="AH86" s="74"/>
      <c r="AI86" s="74"/>
      <c r="AJ86" s="74"/>
      <c r="AK86" s="74"/>
      <c r="AL86" s="74"/>
      <c r="AM86" s="74"/>
      <c r="AN86" s="74"/>
      <c r="AO86" s="74"/>
      <c r="AP86" s="74"/>
      <c r="AQ86" s="74"/>
      <c r="AR86" s="74"/>
      <c r="AS86" s="74"/>
      <c r="AT86" s="74"/>
      <c r="AU86" s="74"/>
      <c r="AV86" s="74"/>
      <c r="AW86" s="74"/>
    </row>
    <row r="87" spans="1:49" x14ac:dyDescent="0.25">
      <c r="A87" s="74"/>
      <c r="B87" s="75"/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  <c r="AB87" s="74"/>
      <c r="AC87" s="74"/>
      <c r="AD87" s="74"/>
      <c r="AE87" s="74"/>
      <c r="AF87" s="74"/>
      <c r="AG87" s="74"/>
      <c r="AH87" s="74"/>
      <c r="AI87" s="74"/>
      <c r="AJ87" s="74"/>
      <c r="AK87" s="74"/>
      <c r="AL87" s="74"/>
      <c r="AM87" s="74"/>
      <c r="AN87" s="74"/>
      <c r="AO87" s="74"/>
      <c r="AP87" s="74"/>
      <c r="AQ87" s="74"/>
      <c r="AR87" s="74"/>
      <c r="AS87" s="74"/>
      <c r="AT87" s="74"/>
      <c r="AU87" s="74"/>
      <c r="AV87" s="74"/>
      <c r="AW87" s="74"/>
    </row>
    <row r="88" spans="1:49" x14ac:dyDescent="0.25">
      <c r="A88" s="74"/>
      <c r="B88" s="75"/>
      <c r="C88" s="75"/>
      <c r="D88" s="75"/>
      <c r="E88" s="75"/>
      <c r="F88" s="75"/>
      <c r="G88" s="75"/>
      <c r="H88" s="75"/>
      <c r="I88" s="75"/>
      <c r="J88" s="75"/>
      <c r="K88" s="75"/>
      <c r="L88" s="75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  <c r="AA88" s="74"/>
      <c r="AB88" s="74"/>
      <c r="AC88" s="74"/>
      <c r="AD88" s="74"/>
      <c r="AE88" s="74"/>
      <c r="AF88" s="74"/>
      <c r="AG88" s="74"/>
      <c r="AH88" s="74"/>
      <c r="AI88" s="74"/>
      <c r="AJ88" s="74"/>
      <c r="AK88" s="74"/>
      <c r="AL88" s="74"/>
      <c r="AM88" s="74"/>
      <c r="AN88" s="74"/>
      <c r="AO88" s="74"/>
      <c r="AP88" s="74"/>
      <c r="AQ88" s="74"/>
      <c r="AR88" s="74"/>
      <c r="AS88" s="74"/>
      <c r="AT88" s="74"/>
      <c r="AU88" s="74"/>
      <c r="AV88" s="74"/>
      <c r="AW88" s="74"/>
    </row>
    <row r="89" spans="1:49" x14ac:dyDescent="0.25">
      <c r="A89" s="74"/>
      <c r="B89" s="75"/>
      <c r="C89" s="75"/>
      <c r="D89" s="75"/>
      <c r="E89" s="75"/>
      <c r="F89" s="75"/>
      <c r="G89" s="75"/>
      <c r="H89" s="75"/>
      <c r="I89" s="75"/>
      <c r="J89" s="75"/>
      <c r="K89" s="75"/>
      <c r="L89" s="75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  <c r="AB89" s="74"/>
      <c r="AC89" s="74"/>
      <c r="AD89" s="74"/>
      <c r="AE89" s="74"/>
      <c r="AF89" s="74"/>
      <c r="AG89" s="74"/>
      <c r="AH89" s="74"/>
      <c r="AI89" s="74"/>
      <c r="AJ89" s="74"/>
      <c r="AK89" s="74"/>
      <c r="AL89" s="74"/>
      <c r="AM89" s="74"/>
      <c r="AN89" s="74"/>
      <c r="AO89" s="74"/>
      <c r="AP89" s="74"/>
      <c r="AQ89" s="74"/>
      <c r="AR89" s="74"/>
      <c r="AS89" s="74"/>
      <c r="AT89" s="74"/>
      <c r="AU89" s="74"/>
      <c r="AV89" s="74"/>
      <c r="AW89" s="74"/>
    </row>
    <row r="90" spans="1:49" x14ac:dyDescent="0.25">
      <c r="A90" s="74"/>
      <c r="B90" s="75"/>
      <c r="C90" s="75"/>
      <c r="D90" s="75"/>
      <c r="E90" s="75"/>
      <c r="F90" s="75"/>
      <c r="G90" s="75"/>
      <c r="H90" s="75"/>
      <c r="I90" s="75"/>
      <c r="J90" s="75"/>
      <c r="K90" s="75"/>
      <c r="L90" s="75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  <c r="AA90" s="74"/>
      <c r="AB90" s="74"/>
      <c r="AC90" s="74"/>
      <c r="AD90" s="74"/>
      <c r="AE90" s="74"/>
      <c r="AF90" s="74"/>
      <c r="AG90" s="74"/>
      <c r="AH90" s="74"/>
      <c r="AI90" s="74"/>
      <c r="AJ90" s="74"/>
      <c r="AK90" s="74"/>
      <c r="AL90" s="74"/>
      <c r="AM90" s="74"/>
      <c r="AN90" s="74"/>
      <c r="AO90" s="74"/>
      <c r="AP90" s="74"/>
      <c r="AQ90" s="74"/>
      <c r="AR90" s="74"/>
      <c r="AS90" s="74"/>
      <c r="AT90" s="74"/>
      <c r="AU90" s="74"/>
      <c r="AV90" s="74"/>
      <c r="AW90" s="74"/>
    </row>
    <row r="91" spans="1:49" x14ac:dyDescent="0.25">
      <c r="A91" s="74"/>
      <c r="B91" s="75"/>
      <c r="C91" s="75"/>
      <c r="D91" s="75"/>
      <c r="E91" s="75"/>
      <c r="F91" s="75"/>
      <c r="G91" s="75"/>
      <c r="H91" s="75"/>
      <c r="I91" s="75"/>
      <c r="J91" s="75"/>
      <c r="K91" s="75"/>
      <c r="L91" s="75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  <c r="AB91" s="74"/>
      <c r="AC91" s="74"/>
      <c r="AD91" s="74"/>
      <c r="AE91" s="74"/>
      <c r="AF91" s="74"/>
      <c r="AG91" s="74"/>
      <c r="AH91" s="74"/>
      <c r="AI91" s="74"/>
      <c r="AJ91" s="74"/>
      <c r="AK91" s="74"/>
      <c r="AL91" s="74"/>
      <c r="AM91" s="74"/>
      <c r="AN91" s="74"/>
      <c r="AO91" s="74"/>
      <c r="AP91" s="74"/>
      <c r="AQ91" s="74"/>
      <c r="AR91" s="74"/>
      <c r="AS91" s="74"/>
      <c r="AT91" s="74"/>
      <c r="AU91" s="74"/>
      <c r="AV91" s="74"/>
      <c r="AW91" s="74"/>
    </row>
    <row r="92" spans="1:49" x14ac:dyDescent="0.25">
      <c r="A92" s="74"/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  <c r="AC92" s="74"/>
      <c r="AD92" s="74"/>
      <c r="AE92" s="74"/>
      <c r="AF92" s="74"/>
      <c r="AG92" s="74"/>
      <c r="AH92" s="74"/>
      <c r="AI92" s="74"/>
      <c r="AJ92" s="74"/>
      <c r="AK92" s="74"/>
      <c r="AL92" s="74"/>
      <c r="AM92" s="74"/>
      <c r="AN92" s="74"/>
      <c r="AO92" s="74"/>
      <c r="AP92" s="74"/>
      <c r="AQ92" s="74"/>
      <c r="AR92" s="74"/>
      <c r="AS92" s="74"/>
      <c r="AT92" s="74"/>
      <c r="AU92" s="74"/>
      <c r="AV92" s="74"/>
      <c r="AW92" s="74"/>
    </row>
    <row r="93" spans="1:49" ht="30" x14ac:dyDescent="0.25">
      <c r="A93" s="74"/>
      <c r="B93" s="50" t="s">
        <v>74</v>
      </c>
      <c r="C93" s="44" t="s">
        <v>4</v>
      </c>
      <c r="D93" s="44" t="s">
        <v>6</v>
      </c>
      <c r="E93" s="44" t="s">
        <v>7</v>
      </c>
      <c r="F93" s="44" t="s">
        <v>8</v>
      </c>
      <c r="G93" s="45" t="s">
        <v>75</v>
      </c>
      <c r="H93" s="44" t="s">
        <v>4</v>
      </c>
      <c r="I93" s="44" t="s">
        <v>6</v>
      </c>
      <c r="J93" s="44" t="s">
        <v>7</v>
      </c>
      <c r="K93" s="44" t="s">
        <v>8</v>
      </c>
      <c r="L93" s="46" t="s">
        <v>76</v>
      </c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  <c r="AA93" s="74"/>
      <c r="AB93" s="74"/>
      <c r="AC93" s="74"/>
      <c r="AD93" s="74"/>
      <c r="AE93" s="74"/>
      <c r="AF93" s="74"/>
      <c r="AG93" s="74"/>
      <c r="AH93" s="74"/>
      <c r="AI93" s="74"/>
      <c r="AJ93" s="74"/>
      <c r="AK93" s="74"/>
      <c r="AL93" s="74"/>
      <c r="AM93" s="74"/>
      <c r="AN93" s="74"/>
      <c r="AO93" s="74"/>
      <c r="AP93" s="74"/>
      <c r="AQ93" s="74"/>
      <c r="AR93" s="74"/>
      <c r="AS93" s="74"/>
      <c r="AT93" s="74"/>
      <c r="AU93" s="74"/>
      <c r="AV93" s="74"/>
      <c r="AW93" s="74"/>
    </row>
    <row r="94" spans="1:49" x14ac:dyDescent="0.25">
      <c r="A94" s="74"/>
      <c r="B94" s="51" t="s">
        <v>16</v>
      </c>
      <c r="C94" s="34">
        <f t="shared" ref="C94:C101" si="5">E4</f>
        <v>0</v>
      </c>
      <c r="D94" s="34">
        <f t="shared" ref="D94:F101" si="6">G4</f>
        <v>0</v>
      </c>
      <c r="E94" s="34">
        <f t="shared" si="6"/>
        <v>0</v>
      </c>
      <c r="F94" s="34">
        <f t="shared" si="6"/>
        <v>0</v>
      </c>
      <c r="G94" s="40">
        <v>0</v>
      </c>
      <c r="H94" s="35">
        <f t="shared" ref="H94:H101" si="7">E4/4</f>
        <v>0</v>
      </c>
      <c r="I94" s="35">
        <f t="shared" ref="I94:K101" si="8">D94/4</f>
        <v>0</v>
      </c>
      <c r="J94" s="35">
        <f t="shared" si="8"/>
        <v>0</v>
      </c>
      <c r="K94" s="35">
        <f t="shared" si="8"/>
        <v>0</v>
      </c>
      <c r="L94" s="42">
        <f>G94*4</f>
        <v>0</v>
      </c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  <c r="AB94" s="74"/>
      <c r="AC94" s="74"/>
      <c r="AD94" s="74"/>
      <c r="AE94" s="74"/>
      <c r="AF94" s="74"/>
      <c r="AG94" s="74"/>
      <c r="AH94" s="74"/>
      <c r="AI94" s="74"/>
      <c r="AJ94" s="74"/>
      <c r="AK94" s="74"/>
      <c r="AL94" s="74"/>
      <c r="AM94" s="74"/>
      <c r="AN94" s="74"/>
      <c r="AO94" s="74"/>
      <c r="AP94" s="74"/>
      <c r="AQ94" s="74"/>
      <c r="AR94" s="74"/>
      <c r="AS94" s="74"/>
      <c r="AT94" s="74"/>
      <c r="AU94" s="74"/>
      <c r="AV94" s="74"/>
      <c r="AW94" s="74"/>
    </row>
    <row r="95" spans="1:49" x14ac:dyDescent="0.25">
      <c r="A95" s="74"/>
      <c r="B95" s="51" t="s">
        <v>18</v>
      </c>
      <c r="C95" s="34">
        <f t="shared" si="5"/>
        <v>140</v>
      </c>
      <c r="D95" s="34">
        <f t="shared" si="6"/>
        <v>40</v>
      </c>
      <c r="E95" s="34">
        <f t="shared" si="6"/>
        <v>20</v>
      </c>
      <c r="F95" s="34">
        <f t="shared" si="6"/>
        <v>85</v>
      </c>
      <c r="G95" s="40">
        <f t="shared" ref="G95:G101" si="9">N5</f>
        <v>90.5</v>
      </c>
      <c r="H95" s="35">
        <f t="shared" si="7"/>
        <v>35</v>
      </c>
      <c r="I95" s="35">
        <f t="shared" si="8"/>
        <v>10</v>
      </c>
      <c r="J95" s="35">
        <f t="shared" si="8"/>
        <v>5</v>
      </c>
      <c r="K95" s="35">
        <f t="shared" si="8"/>
        <v>21.25</v>
      </c>
      <c r="L95" s="42">
        <f t="shared" ref="L95:L101" si="10">G95*4</f>
        <v>362</v>
      </c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  <c r="AA95" s="74"/>
      <c r="AB95" s="74"/>
      <c r="AC95" s="74"/>
      <c r="AD95" s="74"/>
      <c r="AE95" s="74"/>
      <c r="AF95" s="74"/>
      <c r="AG95" s="74"/>
      <c r="AH95" s="74"/>
      <c r="AI95" s="74"/>
      <c r="AJ95" s="74"/>
      <c r="AK95" s="74"/>
      <c r="AL95" s="74"/>
      <c r="AM95" s="74"/>
      <c r="AN95" s="74"/>
      <c r="AO95" s="74"/>
      <c r="AP95" s="74"/>
      <c r="AQ95" s="74"/>
      <c r="AR95" s="74"/>
      <c r="AS95" s="74"/>
      <c r="AT95" s="74"/>
      <c r="AU95" s="74"/>
      <c r="AV95" s="74"/>
      <c r="AW95" s="74"/>
    </row>
    <row r="96" spans="1:49" x14ac:dyDescent="0.25">
      <c r="A96" s="74"/>
      <c r="B96" s="52" t="s">
        <v>19</v>
      </c>
      <c r="C96" s="33">
        <f t="shared" si="5"/>
        <v>140</v>
      </c>
      <c r="D96" s="33">
        <f t="shared" si="6"/>
        <v>40</v>
      </c>
      <c r="E96" s="33">
        <f t="shared" si="6"/>
        <v>0</v>
      </c>
      <c r="F96" s="33">
        <f t="shared" si="6"/>
        <v>85</v>
      </c>
      <c r="G96" s="39">
        <f t="shared" si="9"/>
        <v>66.25</v>
      </c>
      <c r="H96" s="32">
        <f t="shared" si="7"/>
        <v>35</v>
      </c>
      <c r="I96" s="32">
        <f t="shared" si="8"/>
        <v>10</v>
      </c>
      <c r="J96" s="32">
        <f t="shared" si="8"/>
        <v>0</v>
      </c>
      <c r="K96" s="32">
        <f t="shared" si="8"/>
        <v>21.25</v>
      </c>
      <c r="L96" s="49">
        <f t="shared" si="10"/>
        <v>265</v>
      </c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  <c r="AA96" s="74"/>
      <c r="AB96" s="74"/>
      <c r="AC96" s="74"/>
      <c r="AD96" s="74"/>
      <c r="AE96" s="74"/>
      <c r="AF96" s="74"/>
      <c r="AG96" s="74"/>
      <c r="AH96" s="74"/>
      <c r="AI96" s="74"/>
      <c r="AJ96" s="74"/>
      <c r="AK96" s="74"/>
      <c r="AL96" s="74"/>
      <c r="AM96" s="74"/>
      <c r="AN96" s="74"/>
      <c r="AO96" s="74"/>
      <c r="AP96" s="74"/>
      <c r="AQ96" s="74"/>
      <c r="AR96" s="74"/>
      <c r="AS96" s="74"/>
      <c r="AT96" s="74"/>
      <c r="AU96" s="74"/>
      <c r="AV96" s="74"/>
      <c r="AW96" s="74"/>
    </row>
    <row r="97" spans="1:49" x14ac:dyDescent="0.25">
      <c r="A97" s="74"/>
      <c r="B97" s="51" t="s">
        <v>20</v>
      </c>
      <c r="C97" s="34">
        <f t="shared" si="5"/>
        <v>140</v>
      </c>
      <c r="D97" s="34">
        <f t="shared" si="6"/>
        <v>100</v>
      </c>
      <c r="E97" s="34">
        <f t="shared" si="6"/>
        <v>300</v>
      </c>
      <c r="F97" s="34">
        <f t="shared" si="6"/>
        <v>85</v>
      </c>
      <c r="G97" s="40">
        <f t="shared" si="9"/>
        <v>81.25</v>
      </c>
      <c r="H97" s="35">
        <f t="shared" si="7"/>
        <v>35</v>
      </c>
      <c r="I97" s="35">
        <f t="shared" si="8"/>
        <v>25</v>
      </c>
      <c r="J97" s="35">
        <f t="shared" si="8"/>
        <v>75</v>
      </c>
      <c r="K97" s="35">
        <f t="shared" si="8"/>
        <v>21.25</v>
      </c>
      <c r="L97" s="42">
        <f t="shared" si="10"/>
        <v>325</v>
      </c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  <c r="AA97" s="74"/>
      <c r="AB97" s="74"/>
      <c r="AC97" s="74"/>
      <c r="AD97" s="74"/>
      <c r="AE97" s="74"/>
      <c r="AF97" s="74"/>
      <c r="AG97" s="74"/>
      <c r="AH97" s="74"/>
      <c r="AI97" s="74"/>
      <c r="AJ97" s="74"/>
      <c r="AK97" s="74"/>
      <c r="AL97" s="74"/>
      <c r="AM97" s="74"/>
      <c r="AN97" s="74"/>
      <c r="AO97" s="74"/>
      <c r="AP97" s="74"/>
      <c r="AQ97" s="74"/>
      <c r="AR97" s="74"/>
      <c r="AS97" s="74"/>
      <c r="AT97" s="74"/>
      <c r="AU97" s="74"/>
      <c r="AV97" s="74"/>
      <c r="AW97" s="74"/>
    </row>
    <row r="98" spans="1:49" x14ac:dyDescent="0.25">
      <c r="A98" s="74"/>
      <c r="B98" s="51" t="s">
        <v>21</v>
      </c>
      <c r="C98" s="34">
        <f t="shared" si="5"/>
        <v>140</v>
      </c>
      <c r="D98" s="34">
        <f t="shared" si="6"/>
        <v>40</v>
      </c>
      <c r="E98" s="34">
        <f t="shared" si="6"/>
        <v>0</v>
      </c>
      <c r="F98" s="34">
        <f t="shared" si="6"/>
        <v>85</v>
      </c>
      <c r="G98" s="40">
        <f t="shared" si="9"/>
        <v>80.5</v>
      </c>
      <c r="H98" s="35">
        <f t="shared" si="7"/>
        <v>35</v>
      </c>
      <c r="I98" s="35">
        <f t="shared" si="8"/>
        <v>10</v>
      </c>
      <c r="J98" s="35">
        <f t="shared" si="8"/>
        <v>0</v>
      </c>
      <c r="K98" s="35">
        <f t="shared" si="8"/>
        <v>21.25</v>
      </c>
      <c r="L98" s="42">
        <f t="shared" si="10"/>
        <v>322</v>
      </c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  <c r="AA98" s="74"/>
      <c r="AB98" s="74"/>
      <c r="AC98" s="74"/>
      <c r="AD98" s="74"/>
      <c r="AE98" s="74"/>
      <c r="AF98" s="74"/>
      <c r="AG98" s="74"/>
      <c r="AH98" s="74"/>
      <c r="AI98" s="74"/>
      <c r="AJ98" s="74"/>
      <c r="AK98" s="74"/>
      <c r="AL98" s="74"/>
      <c r="AM98" s="74"/>
      <c r="AN98" s="74"/>
      <c r="AO98" s="74"/>
      <c r="AP98" s="74"/>
      <c r="AQ98" s="74"/>
      <c r="AR98" s="74"/>
      <c r="AS98" s="74"/>
      <c r="AT98" s="74"/>
      <c r="AU98" s="74"/>
      <c r="AV98" s="74"/>
      <c r="AW98" s="74"/>
    </row>
    <row r="99" spans="1:49" x14ac:dyDescent="0.25">
      <c r="A99" s="74"/>
      <c r="B99" s="51" t="s">
        <v>22</v>
      </c>
      <c r="C99" s="34">
        <f t="shared" si="5"/>
        <v>140</v>
      </c>
      <c r="D99" s="34">
        <f t="shared" si="6"/>
        <v>120</v>
      </c>
      <c r="E99" s="34">
        <f t="shared" si="6"/>
        <v>50</v>
      </c>
      <c r="F99" s="34">
        <f t="shared" si="6"/>
        <v>85</v>
      </c>
      <c r="G99" s="40">
        <f t="shared" si="9"/>
        <v>86.25</v>
      </c>
      <c r="H99" s="35">
        <f t="shared" si="7"/>
        <v>35</v>
      </c>
      <c r="I99" s="35">
        <f t="shared" si="8"/>
        <v>30</v>
      </c>
      <c r="J99" s="35">
        <f t="shared" si="8"/>
        <v>12.5</v>
      </c>
      <c r="K99" s="35">
        <f t="shared" si="8"/>
        <v>21.25</v>
      </c>
      <c r="L99" s="42">
        <f t="shared" si="10"/>
        <v>345</v>
      </c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  <c r="AB99" s="74"/>
      <c r="AC99" s="74"/>
      <c r="AD99" s="74"/>
      <c r="AE99" s="74"/>
      <c r="AF99" s="74"/>
      <c r="AG99" s="74"/>
      <c r="AH99" s="74"/>
      <c r="AI99" s="74"/>
      <c r="AJ99" s="74"/>
      <c r="AK99" s="74"/>
      <c r="AL99" s="74"/>
      <c r="AM99" s="74"/>
      <c r="AN99" s="74"/>
      <c r="AO99" s="74"/>
      <c r="AP99" s="74"/>
      <c r="AQ99" s="74"/>
      <c r="AR99" s="74"/>
      <c r="AS99" s="74"/>
      <c r="AT99" s="74"/>
      <c r="AU99" s="74"/>
      <c r="AV99" s="74"/>
      <c r="AW99" s="74"/>
    </row>
    <row r="100" spans="1:49" x14ac:dyDescent="0.25">
      <c r="A100" s="74"/>
      <c r="B100" s="51" t="s">
        <v>23</v>
      </c>
      <c r="C100" s="34">
        <f t="shared" si="5"/>
        <v>140</v>
      </c>
      <c r="D100" s="34">
        <f t="shared" si="6"/>
        <v>50</v>
      </c>
      <c r="E100" s="34">
        <f t="shared" si="6"/>
        <v>100</v>
      </c>
      <c r="F100" s="34">
        <f t="shared" si="6"/>
        <v>85</v>
      </c>
      <c r="G100" s="40">
        <f t="shared" si="9"/>
        <v>68.75</v>
      </c>
      <c r="H100" s="35">
        <f t="shared" si="7"/>
        <v>35</v>
      </c>
      <c r="I100" s="35">
        <f t="shared" si="8"/>
        <v>12.5</v>
      </c>
      <c r="J100" s="35">
        <f t="shared" si="8"/>
        <v>25</v>
      </c>
      <c r="K100" s="35">
        <f t="shared" si="8"/>
        <v>21.25</v>
      </c>
      <c r="L100" s="42">
        <f t="shared" si="10"/>
        <v>275</v>
      </c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  <c r="AA100" s="74"/>
      <c r="AB100" s="74"/>
      <c r="AC100" s="74"/>
      <c r="AD100" s="74"/>
      <c r="AE100" s="74"/>
      <c r="AF100" s="74"/>
      <c r="AG100" s="74"/>
      <c r="AH100" s="74"/>
      <c r="AI100" s="74"/>
      <c r="AJ100" s="74"/>
      <c r="AK100" s="74"/>
      <c r="AL100" s="74"/>
      <c r="AM100" s="74"/>
      <c r="AN100" s="74"/>
      <c r="AO100" s="74"/>
      <c r="AP100" s="74"/>
      <c r="AQ100" s="74"/>
      <c r="AR100" s="74"/>
      <c r="AS100" s="74"/>
      <c r="AT100" s="74"/>
      <c r="AU100" s="74"/>
      <c r="AV100" s="74"/>
      <c r="AW100" s="74"/>
    </row>
    <row r="101" spans="1:49" x14ac:dyDescent="0.25">
      <c r="A101" s="74"/>
      <c r="B101" s="53" t="s">
        <v>24</v>
      </c>
      <c r="C101" s="36">
        <f t="shared" si="5"/>
        <v>140</v>
      </c>
      <c r="D101" s="36">
        <f t="shared" si="6"/>
        <v>40</v>
      </c>
      <c r="E101" s="36">
        <f t="shared" si="6"/>
        <v>0</v>
      </c>
      <c r="F101" s="36">
        <f t="shared" si="6"/>
        <v>85</v>
      </c>
      <c r="G101" s="41">
        <f t="shared" si="9"/>
        <v>80.5</v>
      </c>
      <c r="H101" s="37">
        <f t="shared" si="7"/>
        <v>35</v>
      </c>
      <c r="I101" s="37">
        <f t="shared" si="8"/>
        <v>10</v>
      </c>
      <c r="J101" s="37">
        <f t="shared" si="8"/>
        <v>0</v>
      </c>
      <c r="K101" s="37">
        <f t="shared" si="8"/>
        <v>21.25</v>
      </c>
      <c r="L101" s="43">
        <f t="shared" si="10"/>
        <v>322</v>
      </c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  <c r="AA101" s="74"/>
      <c r="AB101" s="74"/>
      <c r="AC101" s="74"/>
      <c r="AD101" s="74"/>
      <c r="AE101" s="74"/>
      <c r="AF101" s="74"/>
      <c r="AG101" s="74"/>
      <c r="AH101" s="74"/>
      <c r="AI101" s="74"/>
      <c r="AJ101" s="74"/>
      <c r="AK101" s="74"/>
      <c r="AL101" s="74"/>
      <c r="AM101" s="74"/>
      <c r="AN101" s="74"/>
      <c r="AO101" s="74"/>
      <c r="AP101" s="74"/>
      <c r="AQ101" s="74"/>
      <c r="AR101" s="74"/>
      <c r="AS101" s="74"/>
      <c r="AT101" s="74"/>
      <c r="AU101" s="74"/>
      <c r="AV101" s="74"/>
      <c r="AW101" s="74"/>
    </row>
    <row r="102" spans="1:49" x14ac:dyDescent="0.25">
      <c r="A102" s="74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  <c r="AA102" s="74"/>
      <c r="AB102" s="74"/>
      <c r="AC102" s="74"/>
      <c r="AD102" s="74"/>
      <c r="AE102" s="74"/>
      <c r="AF102" s="74"/>
      <c r="AG102" s="74"/>
      <c r="AH102" s="74"/>
      <c r="AI102" s="74"/>
      <c r="AJ102" s="74"/>
      <c r="AK102" s="74"/>
      <c r="AL102" s="74"/>
      <c r="AM102" s="74"/>
      <c r="AN102" s="74"/>
      <c r="AO102" s="74"/>
      <c r="AP102" s="74"/>
      <c r="AQ102" s="74"/>
      <c r="AR102" s="74"/>
      <c r="AS102" s="74"/>
      <c r="AT102" s="74"/>
      <c r="AU102" s="74"/>
      <c r="AV102" s="74"/>
      <c r="AW102" s="74"/>
    </row>
    <row r="103" spans="1:49" x14ac:dyDescent="0.25">
      <c r="A103" s="74"/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  <c r="AA103" s="74"/>
      <c r="AB103" s="74"/>
      <c r="AC103" s="74"/>
      <c r="AD103" s="74"/>
      <c r="AE103" s="74"/>
      <c r="AF103" s="74"/>
      <c r="AG103" s="74"/>
      <c r="AH103" s="74"/>
      <c r="AI103" s="74"/>
      <c r="AJ103" s="74"/>
      <c r="AK103" s="74"/>
      <c r="AL103" s="74"/>
      <c r="AM103" s="74"/>
      <c r="AN103" s="74"/>
      <c r="AO103" s="74"/>
      <c r="AP103" s="74"/>
      <c r="AQ103" s="74"/>
      <c r="AR103" s="74"/>
      <c r="AS103" s="74"/>
      <c r="AT103" s="74"/>
      <c r="AU103" s="74"/>
      <c r="AV103" s="74"/>
      <c r="AW103" s="74"/>
    </row>
    <row r="104" spans="1:49" x14ac:dyDescent="0.25">
      <c r="A104" s="74"/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  <c r="AA104" s="74"/>
      <c r="AB104" s="74"/>
      <c r="AC104" s="74"/>
      <c r="AD104" s="74"/>
      <c r="AE104" s="74"/>
      <c r="AF104" s="74"/>
      <c r="AG104" s="74"/>
      <c r="AH104" s="74"/>
      <c r="AI104" s="74"/>
      <c r="AJ104" s="74"/>
      <c r="AK104" s="74"/>
      <c r="AL104" s="74"/>
      <c r="AM104" s="74"/>
      <c r="AN104" s="74"/>
      <c r="AO104" s="74"/>
      <c r="AP104" s="74"/>
      <c r="AQ104" s="74"/>
      <c r="AR104" s="74"/>
      <c r="AS104" s="74"/>
      <c r="AT104" s="74"/>
      <c r="AU104" s="74"/>
      <c r="AV104" s="74"/>
      <c r="AW104" s="74"/>
    </row>
    <row r="105" spans="1:49" x14ac:dyDescent="0.25">
      <c r="A105" s="74"/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  <c r="AA105" s="74"/>
      <c r="AB105" s="74"/>
      <c r="AC105" s="74"/>
      <c r="AD105" s="74"/>
      <c r="AE105" s="74"/>
      <c r="AF105" s="74"/>
      <c r="AG105" s="74"/>
      <c r="AH105" s="74"/>
      <c r="AI105" s="74"/>
      <c r="AJ105" s="74"/>
      <c r="AK105" s="74"/>
      <c r="AL105" s="74"/>
      <c r="AM105" s="74"/>
      <c r="AN105" s="74"/>
      <c r="AO105" s="74"/>
      <c r="AP105" s="74"/>
      <c r="AQ105" s="74"/>
      <c r="AR105" s="74"/>
      <c r="AS105" s="74"/>
      <c r="AT105" s="74"/>
      <c r="AU105" s="74"/>
      <c r="AV105" s="74"/>
      <c r="AW105" s="74"/>
    </row>
    <row r="106" spans="1:49" x14ac:dyDescent="0.25">
      <c r="A106" s="74"/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  <c r="AA106" s="74"/>
      <c r="AB106" s="74"/>
      <c r="AC106" s="74"/>
      <c r="AD106" s="74"/>
      <c r="AE106" s="74"/>
      <c r="AF106" s="74"/>
      <c r="AG106" s="74"/>
      <c r="AH106" s="74"/>
      <c r="AI106" s="74"/>
      <c r="AJ106" s="74"/>
      <c r="AK106" s="74"/>
      <c r="AL106" s="74"/>
      <c r="AM106" s="74"/>
      <c r="AN106" s="74"/>
      <c r="AO106" s="74"/>
      <c r="AP106" s="74"/>
      <c r="AQ106" s="74"/>
      <c r="AR106" s="74"/>
      <c r="AS106" s="74"/>
      <c r="AT106" s="74"/>
      <c r="AU106" s="74"/>
      <c r="AV106" s="74"/>
      <c r="AW106" s="74"/>
    </row>
    <row r="107" spans="1:49" x14ac:dyDescent="0.25">
      <c r="A107" s="74"/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  <c r="AA107" s="74"/>
      <c r="AB107" s="74"/>
      <c r="AC107" s="74"/>
      <c r="AD107" s="74"/>
      <c r="AE107" s="74"/>
      <c r="AF107" s="74"/>
      <c r="AG107" s="74"/>
      <c r="AH107" s="74"/>
      <c r="AI107" s="74"/>
      <c r="AJ107" s="74"/>
      <c r="AK107" s="74"/>
      <c r="AL107" s="74"/>
      <c r="AM107" s="74"/>
      <c r="AN107" s="74"/>
      <c r="AO107" s="74"/>
      <c r="AP107" s="74"/>
      <c r="AQ107" s="74"/>
      <c r="AR107" s="74"/>
      <c r="AS107" s="74"/>
      <c r="AT107" s="74"/>
      <c r="AU107" s="74"/>
      <c r="AV107" s="74"/>
      <c r="AW107" s="74"/>
    </row>
    <row r="108" spans="1:49" x14ac:dyDescent="0.25">
      <c r="A108" s="74"/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  <c r="AA108" s="74"/>
      <c r="AB108" s="74"/>
      <c r="AC108" s="74"/>
      <c r="AD108" s="74"/>
      <c r="AE108" s="74"/>
      <c r="AF108" s="74"/>
      <c r="AG108" s="74"/>
      <c r="AH108" s="74"/>
      <c r="AI108" s="74"/>
      <c r="AJ108" s="74"/>
      <c r="AK108" s="74"/>
      <c r="AL108" s="74"/>
      <c r="AM108" s="74"/>
      <c r="AN108" s="74"/>
      <c r="AO108" s="74"/>
      <c r="AP108" s="74"/>
      <c r="AQ108" s="74"/>
      <c r="AR108" s="74"/>
      <c r="AS108" s="74"/>
      <c r="AT108" s="74"/>
      <c r="AU108" s="74"/>
      <c r="AV108" s="74"/>
      <c r="AW108" s="74"/>
    </row>
    <row r="109" spans="1:49" x14ac:dyDescent="0.25">
      <c r="A109" s="74"/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  <c r="AA109" s="74"/>
      <c r="AB109" s="74"/>
      <c r="AC109" s="74"/>
      <c r="AD109" s="74"/>
      <c r="AE109" s="74"/>
      <c r="AF109" s="74"/>
      <c r="AG109" s="74"/>
      <c r="AH109" s="74"/>
      <c r="AI109" s="74"/>
      <c r="AJ109" s="74"/>
      <c r="AK109" s="74"/>
      <c r="AL109" s="74"/>
      <c r="AM109" s="74"/>
      <c r="AN109" s="74"/>
      <c r="AO109" s="74"/>
      <c r="AP109" s="74"/>
      <c r="AQ109" s="74"/>
      <c r="AR109" s="74"/>
      <c r="AS109" s="74"/>
      <c r="AT109" s="74"/>
      <c r="AU109" s="74"/>
      <c r="AV109" s="74"/>
      <c r="AW109" s="74"/>
    </row>
    <row r="110" spans="1:49" x14ac:dyDescent="0.25">
      <c r="A110" s="74"/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  <c r="AA110" s="74"/>
      <c r="AB110" s="74"/>
      <c r="AC110" s="74"/>
      <c r="AD110" s="74"/>
      <c r="AE110" s="74"/>
      <c r="AF110" s="74"/>
      <c r="AG110" s="74"/>
      <c r="AH110" s="74"/>
      <c r="AI110" s="74"/>
      <c r="AJ110" s="74"/>
      <c r="AK110" s="74"/>
      <c r="AL110" s="74"/>
      <c r="AM110" s="74"/>
      <c r="AN110" s="74"/>
      <c r="AO110" s="74"/>
      <c r="AP110" s="74"/>
      <c r="AQ110" s="74"/>
      <c r="AR110" s="74"/>
      <c r="AS110" s="74"/>
      <c r="AT110" s="74"/>
      <c r="AU110" s="74"/>
      <c r="AV110" s="74"/>
      <c r="AW110" s="74"/>
    </row>
    <row r="111" spans="1:49" x14ac:dyDescent="0.25">
      <c r="A111" s="74"/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  <c r="AA111" s="74"/>
      <c r="AB111" s="74"/>
      <c r="AC111" s="74"/>
      <c r="AD111" s="74"/>
      <c r="AE111" s="74"/>
      <c r="AF111" s="74"/>
      <c r="AG111" s="74"/>
      <c r="AH111" s="74"/>
      <c r="AI111" s="74"/>
      <c r="AJ111" s="74"/>
      <c r="AK111" s="74"/>
      <c r="AL111" s="74"/>
      <c r="AM111" s="74"/>
      <c r="AN111" s="74"/>
      <c r="AO111" s="74"/>
      <c r="AP111" s="74"/>
      <c r="AQ111" s="74"/>
      <c r="AR111" s="74"/>
      <c r="AS111" s="74"/>
      <c r="AT111" s="74"/>
      <c r="AU111" s="74"/>
      <c r="AV111" s="74"/>
      <c r="AW111" s="74"/>
    </row>
    <row r="112" spans="1:49" x14ac:dyDescent="0.25">
      <c r="A112" s="74"/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  <c r="AA112" s="74"/>
      <c r="AB112" s="74"/>
      <c r="AC112" s="74"/>
      <c r="AD112" s="74"/>
      <c r="AE112" s="74"/>
      <c r="AF112" s="74"/>
      <c r="AG112" s="74"/>
      <c r="AH112" s="74"/>
      <c r="AI112" s="74"/>
      <c r="AJ112" s="74"/>
      <c r="AK112" s="74"/>
      <c r="AL112" s="74"/>
      <c r="AM112" s="74"/>
      <c r="AN112" s="74"/>
      <c r="AO112" s="74"/>
      <c r="AP112" s="74"/>
      <c r="AQ112" s="74"/>
      <c r="AR112" s="74"/>
      <c r="AS112" s="74"/>
      <c r="AT112" s="74"/>
      <c r="AU112" s="74"/>
      <c r="AV112" s="74"/>
      <c r="AW112" s="74"/>
    </row>
    <row r="113" spans="1:49" x14ac:dyDescent="0.25">
      <c r="A113" s="74"/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  <c r="AA113" s="74"/>
      <c r="AB113" s="74"/>
      <c r="AC113" s="74"/>
      <c r="AD113" s="74"/>
      <c r="AE113" s="74"/>
      <c r="AF113" s="74"/>
      <c r="AG113" s="74"/>
      <c r="AH113" s="74"/>
      <c r="AI113" s="74"/>
      <c r="AJ113" s="74"/>
      <c r="AK113" s="74"/>
      <c r="AL113" s="74"/>
      <c r="AM113" s="74"/>
      <c r="AN113" s="74"/>
      <c r="AO113" s="74"/>
      <c r="AP113" s="74"/>
      <c r="AQ113" s="74"/>
      <c r="AR113" s="74"/>
      <c r="AS113" s="74"/>
      <c r="AT113" s="74"/>
      <c r="AU113" s="74"/>
      <c r="AV113" s="74"/>
      <c r="AW113" s="74"/>
    </row>
    <row r="114" spans="1:49" x14ac:dyDescent="0.25">
      <c r="A114" s="74"/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  <c r="AA114" s="74"/>
      <c r="AB114" s="74"/>
      <c r="AC114" s="74"/>
      <c r="AD114" s="74"/>
      <c r="AE114" s="74"/>
      <c r="AF114" s="74"/>
      <c r="AG114" s="74"/>
      <c r="AH114" s="74"/>
      <c r="AI114" s="74"/>
      <c r="AJ114" s="74"/>
      <c r="AK114" s="74"/>
      <c r="AL114" s="74"/>
      <c r="AM114" s="74"/>
      <c r="AN114" s="74"/>
      <c r="AO114" s="74"/>
      <c r="AP114" s="74"/>
      <c r="AQ114" s="74"/>
      <c r="AR114" s="74"/>
      <c r="AS114" s="74"/>
      <c r="AT114" s="74"/>
      <c r="AU114" s="74"/>
      <c r="AV114" s="74"/>
      <c r="AW114" s="74"/>
    </row>
    <row r="115" spans="1:49" x14ac:dyDescent="0.25">
      <c r="A115" s="74"/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  <c r="AA115" s="74"/>
      <c r="AB115" s="74"/>
      <c r="AC115" s="74"/>
      <c r="AD115" s="74"/>
      <c r="AE115" s="74"/>
      <c r="AF115" s="74"/>
      <c r="AG115" s="74"/>
      <c r="AH115" s="74"/>
      <c r="AI115" s="74"/>
      <c r="AJ115" s="74"/>
      <c r="AK115" s="74"/>
      <c r="AL115" s="74"/>
      <c r="AM115" s="74"/>
      <c r="AN115" s="74"/>
      <c r="AO115" s="74"/>
      <c r="AP115" s="74"/>
      <c r="AQ115" s="74"/>
      <c r="AR115" s="74"/>
      <c r="AS115" s="74"/>
      <c r="AT115" s="74"/>
      <c r="AU115" s="74"/>
      <c r="AV115" s="74"/>
      <c r="AW115" s="74"/>
    </row>
    <row r="116" spans="1:49" x14ac:dyDescent="0.25">
      <c r="D116" s="2"/>
      <c r="E116" s="2"/>
      <c r="F116" s="2"/>
    </row>
    <row r="117" spans="1:49" x14ac:dyDescent="0.25">
      <c r="D117" s="2"/>
      <c r="E117" s="2"/>
      <c r="F117" s="2"/>
    </row>
    <row r="118" spans="1:49" x14ac:dyDescent="0.25">
      <c r="D118" s="2"/>
      <c r="E118" s="2"/>
      <c r="F118" s="2"/>
    </row>
    <row r="119" spans="1:49" x14ac:dyDescent="0.25">
      <c r="D119" s="2"/>
      <c r="E119" s="2"/>
      <c r="F119" s="2"/>
    </row>
  </sheetData>
  <mergeCells count="31">
    <mergeCell ref="A1:AW1"/>
    <mergeCell ref="K14:K15"/>
    <mergeCell ref="K16:L68"/>
    <mergeCell ref="F68:G68"/>
    <mergeCell ref="D63:D67"/>
    <mergeCell ref="B63:C65"/>
    <mergeCell ref="B67:C67"/>
    <mergeCell ref="H63:J66"/>
    <mergeCell ref="H45:J45"/>
    <mergeCell ref="B45:D45"/>
    <mergeCell ref="D68:E68"/>
    <mergeCell ref="B13:K13"/>
    <mergeCell ref="F14:G26"/>
    <mergeCell ref="E28:G67"/>
    <mergeCell ref="B27:J27"/>
    <mergeCell ref="L13:L15"/>
    <mergeCell ref="S2:AW11"/>
    <mergeCell ref="M12:AW115"/>
    <mergeCell ref="A2:A115"/>
    <mergeCell ref="B69:L92"/>
    <mergeCell ref="B102:L115"/>
    <mergeCell ref="F12:H12"/>
    <mergeCell ref="B14:E14"/>
    <mergeCell ref="H14:J14"/>
    <mergeCell ref="B28:D28"/>
    <mergeCell ref="B46:D46"/>
    <mergeCell ref="H46:J46"/>
    <mergeCell ref="H28:J28"/>
    <mergeCell ref="I12:K12"/>
    <mergeCell ref="D12:E12"/>
    <mergeCell ref="B2:P2"/>
  </mergeCells>
  <pageMargins left="0.75" right="0.75" top="1" bottom="1" header="0.5" footer="0.5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 Financiero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Eric Kowalski</cp:lastModifiedBy>
  <cp:revision/>
  <dcterms:created xsi:type="dcterms:W3CDTF">2025-09-28T11:03:27Z</dcterms:created>
  <dcterms:modified xsi:type="dcterms:W3CDTF">2025-11-16T17:35:07Z</dcterms:modified>
  <cp:category/>
  <cp:contentStatus/>
</cp:coreProperties>
</file>